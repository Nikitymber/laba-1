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E772D9A-F5E4-426E-8450-4F44109DEB2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Настройки" sheetId="1" r:id="rId1"/>
    <sheet name="Исходные кривые" sheetId="2" r:id="rId2"/>
    <sheet name="Результаты" sheetId="3" r:id="rId3"/>
    <sheet name="Провер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E14" i="4" s="1"/>
  <c r="G14" i="4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E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E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E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E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E6" i="3" s="1"/>
  <c r="B5" i="3"/>
  <c r="C5" i="3" s="1"/>
  <c r="B4" i="3"/>
  <c r="C4" i="3" s="1"/>
  <c r="E29" i="3" l="1"/>
  <c r="F29" i="3"/>
  <c r="I29" i="3"/>
  <c r="H29" i="3"/>
  <c r="G29" i="3"/>
  <c r="E9" i="3"/>
  <c r="H9" i="3"/>
  <c r="G9" i="3"/>
  <c r="F9" i="3"/>
  <c r="I9" i="3"/>
  <c r="E20" i="3"/>
  <c r="G20" i="3"/>
  <c r="I20" i="3"/>
  <c r="H20" i="3"/>
  <c r="F20" i="3"/>
  <c r="E38" i="3"/>
  <c r="G38" i="3"/>
  <c r="I38" i="3"/>
  <c r="H38" i="3"/>
  <c r="F38" i="3"/>
  <c r="E12" i="3"/>
  <c r="G12" i="3"/>
  <c r="F12" i="3"/>
  <c r="I12" i="3"/>
  <c r="H12" i="3"/>
  <c r="E18" i="3"/>
  <c r="H18" i="3"/>
  <c r="G18" i="3"/>
  <c r="F18" i="3"/>
  <c r="I18" i="3"/>
  <c r="E51" i="3"/>
  <c r="F51" i="3"/>
  <c r="I51" i="3"/>
  <c r="H51" i="3"/>
  <c r="G51" i="3"/>
  <c r="E48" i="3"/>
  <c r="H48" i="3"/>
  <c r="G48" i="3"/>
  <c r="F48" i="3"/>
  <c r="I48" i="3"/>
  <c r="E35" i="3"/>
  <c r="H35" i="3"/>
  <c r="G35" i="3"/>
  <c r="I35" i="3"/>
  <c r="F35" i="3"/>
  <c r="E42" i="3"/>
  <c r="F42" i="3"/>
  <c r="G42" i="3"/>
  <c r="I42" i="3"/>
  <c r="H42" i="3"/>
  <c r="E26" i="3"/>
  <c r="H26" i="3"/>
  <c r="G26" i="3"/>
  <c r="F26" i="3"/>
  <c r="I26" i="3"/>
  <c r="G6" i="3"/>
  <c r="G23" i="3"/>
  <c r="H6" i="3"/>
  <c r="H15" i="3"/>
  <c r="H23" i="3"/>
  <c r="H32" i="3"/>
  <c r="H45" i="3"/>
  <c r="I6" i="3"/>
  <c r="I15" i="3"/>
  <c r="I23" i="3"/>
  <c r="I32" i="3"/>
  <c r="I45" i="3"/>
  <c r="F45" i="3"/>
  <c r="G32" i="3"/>
  <c r="F15" i="3"/>
  <c r="G15" i="3"/>
  <c r="F6" i="3"/>
  <c r="F23" i="3"/>
  <c r="F32" i="3"/>
  <c r="G45" i="3"/>
  <c r="I37" i="3"/>
  <c r="H37" i="3"/>
  <c r="G37" i="3"/>
  <c r="F37" i="3"/>
  <c r="E37" i="3"/>
  <c r="D37" i="3"/>
  <c r="I25" i="3"/>
  <c r="H25" i="3"/>
  <c r="G25" i="3"/>
  <c r="F25" i="3"/>
  <c r="E25" i="3"/>
  <c r="D25" i="3"/>
  <c r="I50" i="3"/>
  <c r="H50" i="3"/>
  <c r="G50" i="3"/>
  <c r="F50" i="3"/>
  <c r="E50" i="3"/>
  <c r="D50" i="3"/>
  <c r="I34" i="3"/>
  <c r="H34" i="3"/>
  <c r="G34" i="3"/>
  <c r="E34" i="3"/>
  <c r="D34" i="3"/>
  <c r="F34" i="3"/>
  <c r="I11" i="3"/>
  <c r="H11" i="3"/>
  <c r="G11" i="3"/>
  <c r="F11" i="3"/>
  <c r="E11" i="3"/>
  <c r="D11" i="3"/>
  <c r="I28" i="3"/>
  <c r="H28" i="3"/>
  <c r="G28" i="3"/>
  <c r="F28" i="3"/>
  <c r="E28" i="3"/>
  <c r="D28" i="3"/>
  <c r="I8" i="3"/>
  <c r="H8" i="3"/>
  <c r="G8" i="3"/>
  <c r="C7" i="4" s="1"/>
  <c r="E7" i="4" s="1"/>
  <c r="G7" i="4" s="1"/>
  <c r="F8" i="3"/>
  <c r="C6" i="4" s="1"/>
  <c r="E6" i="4" s="1"/>
  <c r="G6" i="4" s="1"/>
  <c r="E8" i="3"/>
  <c r="C5" i="4" s="1"/>
  <c r="E5" i="4" s="1"/>
  <c r="G5" i="4" s="1"/>
  <c r="D8" i="3"/>
  <c r="I47" i="3"/>
  <c r="H47" i="3"/>
  <c r="G47" i="3"/>
  <c r="F47" i="3"/>
  <c r="E47" i="3"/>
  <c r="D47" i="3"/>
  <c r="I17" i="3"/>
  <c r="H17" i="3"/>
  <c r="G17" i="3"/>
  <c r="F17" i="3"/>
  <c r="E17" i="3"/>
  <c r="D17" i="3"/>
  <c r="I5" i="3"/>
  <c r="C9" i="4" s="1"/>
  <c r="E9" i="4" s="1"/>
  <c r="G9" i="4" s="1"/>
  <c r="H5" i="3"/>
  <c r="C8" i="4" s="1"/>
  <c r="E8" i="4" s="1"/>
  <c r="G8" i="4" s="1"/>
  <c r="G5" i="3"/>
  <c r="F5" i="3"/>
  <c r="E5" i="3"/>
  <c r="D5" i="3"/>
  <c r="C4" i="4" s="1"/>
  <c r="E4" i="4" s="1"/>
  <c r="G4" i="4" s="1"/>
  <c r="I14" i="3"/>
  <c r="H14" i="3"/>
  <c r="G14" i="3"/>
  <c r="F14" i="3"/>
  <c r="E14" i="3"/>
  <c r="D14" i="3"/>
  <c r="I22" i="3"/>
  <c r="H22" i="3"/>
  <c r="G22" i="3"/>
  <c r="E22" i="3"/>
  <c r="D22" i="3"/>
  <c r="F22" i="3"/>
  <c r="I31" i="3"/>
  <c r="H31" i="3"/>
  <c r="G31" i="3"/>
  <c r="F31" i="3"/>
  <c r="E31" i="3"/>
  <c r="D31" i="3"/>
  <c r="I40" i="3"/>
  <c r="H40" i="3"/>
  <c r="G40" i="3"/>
  <c r="F40" i="3"/>
  <c r="E40" i="3"/>
  <c r="D40" i="3"/>
  <c r="I44" i="3"/>
  <c r="H44" i="3"/>
  <c r="G44" i="3"/>
  <c r="F44" i="3"/>
  <c r="E44" i="3"/>
  <c r="D44" i="3"/>
  <c r="I53" i="3"/>
  <c r="C15" i="4" s="1"/>
  <c r="E15" i="4" s="1"/>
  <c r="G15" i="4" s="1"/>
  <c r="H53" i="3"/>
  <c r="G53" i="3"/>
  <c r="F53" i="3"/>
  <c r="E53" i="3"/>
  <c r="D53" i="3"/>
  <c r="F52" i="3"/>
  <c r="E52" i="3"/>
  <c r="D52" i="3"/>
  <c r="I52" i="3"/>
  <c r="H52" i="3"/>
  <c r="G52" i="3"/>
  <c r="F49" i="3"/>
  <c r="E49" i="3"/>
  <c r="D49" i="3"/>
  <c r="I49" i="3"/>
  <c r="G49" i="3"/>
  <c r="H49" i="3"/>
  <c r="F46" i="3"/>
  <c r="E46" i="3"/>
  <c r="D46" i="3"/>
  <c r="I46" i="3"/>
  <c r="G46" i="3"/>
  <c r="H46" i="3"/>
  <c r="F7" i="3"/>
  <c r="E7" i="3"/>
  <c r="D7" i="3"/>
  <c r="I7" i="3"/>
  <c r="H7" i="3"/>
  <c r="G7" i="3"/>
  <c r="F13" i="3"/>
  <c r="E13" i="3"/>
  <c r="D13" i="3"/>
  <c r="I13" i="3"/>
  <c r="H13" i="3"/>
  <c r="G13" i="3"/>
  <c r="F21" i="3"/>
  <c r="E21" i="3"/>
  <c r="D21" i="3"/>
  <c r="I21" i="3"/>
  <c r="H21" i="3"/>
  <c r="G21" i="3"/>
  <c r="F27" i="3"/>
  <c r="E27" i="3"/>
  <c r="D27" i="3"/>
  <c r="I27" i="3"/>
  <c r="H27" i="3"/>
  <c r="G27" i="3"/>
  <c r="F39" i="3"/>
  <c r="E39" i="3"/>
  <c r="D39" i="3"/>
  <c r="I39" i="3"/>
  <c r="H39" i="3"/>
  <c r="G39" i="3"/>
  <c r="F41" i="3"/>
  <c r="E41" i="3"/>
  <c r="D41" i="3"/>
  <c r="I41" i="3"/>
  <c r="H41" i="3"/>
  <c r="G41" i="3"/>
  <c r="F33" i="3"/>
  <c r="E33" i="3"/>
  <c r="D33" i="3"/>
  <c r="I33" i="3"/>
  <c r="H33" i="3"/>
  <c r="G33" i="3"/>
  <c r="F43" i="3"/>
  <c r="E43" i="3"/>
  <c r="D43" i="3"/>
  <c r="I43" i="3"/>
  <c r="H43" i="3"/>
  <c r="G43" i="3"/>
  <c r="F4" i="3"/>
  <c r="E4" i="3"/>
  <c r="D4" i="3"/>
  <c r="I4" i="3"/>
  <c r="H4" i="3"/>
  <c r="G4" i="3"/>
  <c r="F10" i="3"/>
  <c r="E10" i="3"/>
  <c r="D10" i="3"/>
  <c r="I10" i="3"/>
  <c r="H10" i="3"/>
  <c r="G10" i="3"/>
  <c r="F16" i="3"/>
  <c r="E16" i="3"/>
  <c r="D16" i="3"/>
  <c r="I16" i="3"/>
  <c r="H16" i="3"/>
  <c r="G16" i="3"/>
  <c r="F19" i="3"/>
  <c r="E19" i="3"/>
  <c r="D19" i="3"/>
  <c r="I19" i="3"/>
  <c r="H19" i="3"/>
  <c r="G19" i="3"/>
  <c r="F24" i="3"/>
  <c r="E24" i="3"/>
  <c r="D24" i="3"/>
  <c r="I24" i="3"/>
  <c r="H24" i="3"/>
  <c r="G24" i="3"/>
  <c r="F30" i="3"/>
  <c r="E30" i="3"/>
  <c r="D30" i="3"/>
  <c r="I30" i="3"/>
  <c r="H30" i="3"/>
  <c r="G30" i="3"/>
  <c r="F36" i="3"/>
  <c r="E36" i="3"/>
  <c r="D36" i="3"/>
  <c r="I36" i="3"/>
  <c r="H36" i="3"/>
  <c r="G36" i="3"/>
  <c r="D6" i="3"/>
  <c r="D9" i="3"/>
  <c r="D12" i="3"/>
  <c r="D15" i="3"/>
  <c r="D18" i="3"/>
  <c r="D20" i="3"/>
  <c r="D23" i="3"/>
  <c r="D26" i="3"/>
  <c r="D29" i="3"/>
  <c r="D32" i="3"/>
  <c r="D35" i="3"/>
  <c r="D38" i="3"/>
  <c r="D42" i="3"/>
  <c r="D45" i="3"/>
  <c r="D48" i="3"/>
  <c r="D51" i="3"/>
  <c r="G11" i="4" l="1"/>
</calcChain>
</file>

<file path=xl/sharedStrings.xml><?xml version="1.0" encoding="utf-8"?>
<sst xmlns="http://schemas.openxmlformats.org/spreadsheetml/2006/main" count="120" uniqueCount="74">
  <si>
    <t>Сводная интерполяция процентных кривых</t>
  </si>
  <si>
    <t>Параметр</t>
  </si>
  <si>
    <t>Значение</t>
  </si>
  <si>
    <t>Дата отчёта</t>
  </si>
  <si>
    <t>Дневная база</t>
  </si>
  <si>
    <t>Метод</t>
  </si>
  <si>
    <t>Линейная интерполяция</t>
  </si>
  <si>
    <t>Обозначение</t>
  </si>
  <si>
    <t>Единица</t>
  </si>
  <si>
    <t>Тип</t>
  </si>
  <si>
    <t>Примечание</t>
  </si>
  <si>
    <t>КБД</t>
  </si>
  <si>
    <t>%</t>
  </si>
  <si>
    <t>Исходная кривая</t>
  </si>
  <si>
    <t>КБД Московской биржи на 30.06.2026</t>
  </si>
  <si>
    <t>Сценарная кривая</t>
  </si>
  <si>
    <t>Сценарий</t>
  </si>
  <si>
    <t>КБД со сценарным сдвигом из исходной таблицы</t>
  </si>
  <si>
    <t>ЦБ_shock_up/down</t>
  </si>
  <si>
    <t>б.п.</t>
  </si>
  <si>
    <t>Шок</t>
  </si>
  <si>
    <t>Значения из таблицы ЦБ</t>
  </si>
  <si>
    <t>RUB вверх/вниз</t>
  </si>
  <si>
    <t>п.п.</t>
  </si>
  <si>
    <t>Рублёвые процентные сдвиги</t>
  </si>
  <si>
    <t>Правила расчёта</t>
  </si>
  <si>
    <t>Срок</t>
  </si>
  <si>
    <t>(дата платежа − дата отчёта) / 365</t>
  </si>
  <si>
    <t>За границами</t>
  </si>
  <si>
    <t>Используется ближайшее крайнее значение кривой</t>
  </si>
  <si>
    <t>Исходные узлы кривых</t>
  </si>
  <si>
    <t>КБД Московской биржи</t>
  </si>
  <si>
    <t>Срок, лет</t>
  </si>
  <si>
    <t>КБД, %</t>
  </si>
  <si>
    <t>Ставка, %</t>
  </si>
  <si>
    <t>Шоки ЦБ</t>
  </si>
  <si>
    <t>ЦБ_shock_up, б.п.</t>
  </si>
  <si>
    <t>ЦБ_shock_down, б.п.</t>
  </si>
  <si>
    <t>Сдвиги RUB</t>
  </si>
  <si>
    <t>Сдвиг вверх, п.п.</t>
  </si>
  <si>
    <t>Сдвиг вниз, п.п.</t>
  </si>
  <si>
    <t>Все интерполяции на заданные даты</t>
  </si>
  <si>
    <t>Дата</t>
  </si>
  <si>
    <t>Дней</t>
  </si>
  <si>
    <t>Срок ACT/365, лет</t>
  </si>
  <si>
    <t>Сценарная кривая, %</t>
  </si>
  <si>
    <t>RUB вверх, п.п.</t>
  </si>
  <si>
    <t>RUB вниз, п.п.</t>
  </si>
  <si>
    <t>Контроль расчёта</t>
  </si>
  <si>
    <t>Проверка</t>
  </si>
  <si>
    <t>Ячейка</t>
  </si>
  <si>
    <t>Расчёт</t>
  </si>
  <si>
    <t>Ожидается</t>
  </si>
  <si>
    <t>Разница</t>
  </si>
  <si>
    <t>Допуск</t>
  </si>
  <si>
    <t>Статус</t>
  </si>
  <si>
    <t>КБД на 1 год</t>
  </si>
  <si>
    <t>Результаты!E5</t>
  </si>
  <si>
    <t>Сценарная кривая на 4 года</t>
  </si>
  <si>
    <t>Результаты!F8</t>
  </si>
  <si>
    <t>ЦБ shock up на 4 года</t>
  </si>
  <si>
    <t>Результаты!G8</t>
  </si>
  <si>
    <t>ЦБ shock down на 4 года</t>
  </si>
  <si>
    <t>Результаты!H8</t>
  </si>
  <si>
    <t>RUB вверх на 1 год</t>
  </si>
  <si>
    <t>Результаты!I5</t>
  </si>
  <si>
    <t>RUB вниз на 1 год</t>
  </si>
  <si>
    <t>Результаты!J5</t>
  </si>
  <si>
    <t>Итоговый статус</t>
  </si>
  <si>
    <t>Проверка новых дат</t>
  </si>
  <si>
    <t>Дата первого нового ряда</t>
  </si>
  <si>
    <t>Результаты!B21</t>
  </si>
  <si>
    <t>RUB вниз на последнюю дату</t>
  </si>
  <si>
    <t>Результаты!J59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</si>
</sst>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0"/>
  </numFmts>
  <fonts count="7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1F4E78"/>
      <name val="Carlito"/>
    </font>
    <font>
      <sz val="11"/>
      <color rgb="FF008000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B4C6D7"/>
      </left>
      <right style="thin">
        <color rgb="FFB4C6D7"/>
      </right>
      <top style="medium">
        <color rgb="FF1F4E78"/>
      </top>
      <bottom style="thin">
        <color rgb="FFB4C6D7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1" xfId="1" applyFont="1" applyBorder="1"/>
    <xf numFmtId="0" fontId="3" fillId="3" borderId="1" xfId="1" applyFont="1" applyFill="1" applyBorder="1"/>
    <xf numFmtId="164" fontId="3" fillId="3" borderId="1" xfId="1" applyNumberFormat="1" applyFont="1" applyFill="1" applyBorder="1"/>
    <xf numFmtId="0" fontId="4" fillId="4" borderId="1" xfId="1" applyFont="1" applyFill="1" applyBorder="1" applyAlignment="1">
      <alignment horizontal="center"/>
    </xf>
    <xf numFmtId="2" fontId="4" fillId="4" borderId="1" xfId="1" applyNumberFormat="1" applyFont="1" applyFill="1" applyBorder="1" applyAlignment="1">
      <alignment horizontal="center"/>
    </xf>
    <xf numFmtId="2" fontId="0" fillId="0" borderId="0" xfId="1" applyNumberFormat="1" applyFont="1"/>
    <xf numFmtId="2" fontId="0" fillId="0" borderId="1" xfId="1" applyNumberFormat="1" applyFont="1" applyBorder="1"/>
    <xf numFmtId="164" fontId="3" fillId="0" borderId="1" xfId="1" applyNumberFormat="1" applyFont="1" applyBorder="1"/>
    <xf numFmtId="165" fontId="0" fillId="0" borderId="1" xfId="1" applyNumberFormat="1" applyFont="1" applyBorder="1"/>
    <xf numFmtId="1" fontId="5" fillId="0" borderId="1" xfId="1" applyNumberFormat="1" applyFont="1" applyBorder="1"/>
    <xf numFmtId="165" fontId="5" fillId="0" borderId="1" xfId="1" applyNumberFormat="1" applyFont="1" applyBorder="1"/>
    <xf numFmtId="164" fontId="3" fillId="5" borderId="1" xfId="1" applyNumberFormat="1" applyFont="1" applyFill="1" applyBorder="1"/>
    <xf numFmtId="1" fontId="5" fillId="5" borderId="1" xfId="1" applyNumberFormat="1" applyFont="1" applyFill="1" applyBorder="1"/>
    <xf numFmtId="165" fontId="5" fillId="5" borderId="1" xfId="1" applyNumberFormat="1" applyFont="1" applyFill="1" applyBorder="1"/>
    <xf numFmtId="164" fontId="3" fillId="0" borderId="2" xfId="1" applyNumberFormat="1" applyFont="1" applyBorder="1"/>
    <xf numFmtId="1" fontId="5" fillId="0" borderId="2" xfId="1" applyNumberFormat="1" applyFont="1" applyBorder="1"/>
    <xf numFmtId="165" fontId="5" fillId="0" borderId="2" xfId="1" applyNumberFormat="1" applyFont="1" applyBorder="1"/>
    <xf numFmtId="164" fontId="3" fillId="6" borderId="1" xfId="1" applyNumberFormat="1" applyFont="1" applyFill="1" applyBorder="1"/>
    <xf numFmtId="164" fontId="3" fillId="7" borderId="1" xfId="1" applyNumberFormat="1" applyFont="1" applyFill="1" applyBorder="1"/>
    <xf numFmtId="164" fontId="3" fillId="6" borderId="2" xfId="1" applyNumberFormat="1" applyFont="1" applyFill="1" applyBorder="1"/>
    <xf numFmtId="164" fontId="3" fillId="7" borderId="2" xfId="1" applyNumberFormat="1" applyFont="1" applyFill="1" applyBorder="1"/>
    <xf numFmtId="1" fontId="5" fillId="6" borderId="2" xfId="1" applyNumberFormat="1" applyFont="1" applyFill="1" applyBorder="1"/>
    <xf numFmtId="165" fontId="5" fillId="6" borderId="2" xfId="1" applyNumberFormat="1" applyFont="1" applyFill="1" applyBorder="1"/>
    <xf numFmtId="1" fontId="5" fillId="6" borderId="1" xfId="1" applyNumberFormat="1" applyFont="1" applyFill="1" applyBorder="1"/>
    <xf numFmtId="165" fontId="5" fillId="6" borderId="1" xfId="1" applyNumberFormat="1" applyFont="1" applyFill="1" applyBorder="1"/>
    <xf numFmtId="1" fontId="5" fillId="7" borderId="2" xfId="1" applyNumberFormat="1" applyFont="1" applyFill="1" applyBorder="1"/>
    <xf numFmtId="165" fontId="5" fillId="7" borderId="2" xfId="1" applyNumberFormat="1" applyFont="1" applyFill="1" applyBorder="1"/>
    <xf numFmtId="1" fontId="5" fillId="7" borderId="1" xfId="1" applyNumberFormat="1" applyFont="1" applyFill="1" applyBorder="1"/>
    <xf numFmtId="165" fontId="5" fillId="7" borderId="1" xfId="1" applyNumberFormat="1" applyFont="1" applyFill="1" applyBorder="1"/>
    <xf numFmtId="0" fontId="2" fillId="8" borderId="1" xfId="1" applyFont="1" applyFill="1" applyBorder="1" applyAlignment="1">
      <alignment horizontal="center"/>
    </xf>
    <xf numFmtId="164" fontId="0" fillId="0" borderId="1" xfId="1" applyNumberFormat="1" applyFont="1" applyBorder="1"/>
    <xf numFmtId="0" fontId="1" fillId="2" borderId="0" xfId="1" applyFont="1" applyFill="1" applyAlignment="1">
      <alignment vertical="center"/>
    </xf>
    <xf numFmtId="0" fontId="4" fillId="4" borderId="1" xfId="1" applyFont="1" applyFill="1" applyBorder="1"/>
    <xf numFmtId="0" fontId="0" fillId="0" borderId="1" xfId="1" applyFont="1" applyBorder="1"/>
    <xf numFmtId="0" fontId="2" fillId="2" borderId="1" xfId="1" applyFont="1" applyFill="1" applyBorder="1"/>
    <xf numFmtId="2" fontId="2" fillId="2" borderId="1" xfId="1" applyNumberFormat="1" applyFont="1" applyFill="1" applyBorder="1"/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/>
  </sheetViews>
  <sheetFormatPr defaultRowHeight="13.8"/>
  <cols>
    <col min="1" max="1" width="24" customWidth="1"/>
    <col min="2" max="2" width="34" customWidth="1"/>
    <col min="3" max="3" width="18" customWidth="1"/>
    <col min="4" max="4" width="48" customWidth="1"/>
  </cols>
  <sheetData>
    <row r="1" spans="1:4" ht="28.05" customHeight="1">
      <c r="A1" s="33" t="s">
        <v>0</v>
      </c>
      <c r="B1" s="33" t="s">
        <v>0</v>
      </c>
      <c r="C1" s="33" t="s">
        <v>0</v>
      </c>
      <c r="D1" s="33" t="s">
        <v>0</v>
      </c>
    </row>
    <row r="3" spans="1:4">
      <c r="A3" s="1" t="s">
        <v>1</v>
      </c>
      <c r="B3" s="1" t="s">
        <v>2</v>
      </c>
    </row>
    <row r="4" spans="1:4">
      <c r="A4" s="2" t="s">
        <v>3</v>
      </c>
      <c r="B4" s="4">
        <v>46203</v>
      </c>
    </row>
    <row r="5" spans="1:4">
      <c r="A5" s="2" t="s">
        <v>4</v>
      </c>
      <c r="B5" s="3">
        <v>365</v>
      </c>
    </row>
    <row r="6" spans="1:4">
      <c r="A6" s="2" t="s">
        <v>5</v>
      </c>
      <c r="B6" s="3" t="s">
        <v>6</v>
      </c>
    </row>
    <row r="8" spans="1:4">
      <c r="A8" s="1" t="s">
        <v>7</v>
      </c>
      <c r="B8" s="1" t="s">
        <v>8</v>
      </c>
      <c r="C8" s="1" t="s">
        <v>9</v>
      </c>
      <c r="D8" s="1" t="s">
        <v>10</v>
      </c>
    </row>
    <row r="9" spans="1:4">
      <c r="A9" s="2" t="s">
        <v>11</v>
      </c>
      <c r="B9" s="2" t="s">
        <v>12</v>
      </c>
      <c r="C9" s="2" t="s">
        <v>13</v>
      </c>
      <c r="D9" s="2" t="s">
        <v>14</v>
      </c>
    </row>
    <row r="10" spans="1:4">
      <c r="A10" s="2" t="s">
        <v>15</v>
      </c>
      <c r="B10" s="2" t="s">
        <v>12</v>
      </c>
      <c r="C10" s="2" t="s">
        <v>16</v>
      </c>
      <c r="D10" s="2" t="s">
        <v>17</v>
      </c>
    </row>
    <row r="11" spans="1:4">
      <c r="A11" s="2" t="s">
        <v>18</v>
      </c>
      <c r="B11" s="2" t="s">
        <v>19</v>
      </c>
      <c r="C11" s="2" t="s">
        <v>20</v>
      </c>
      <c r="D11" s="2" t="s">
        <v>21</v>
      </c>
    </row>
    <row r="12" spans="1:4">
      <c r="A12" s="2" t="s">
        <v>22</v>
      </c>
      <c r="B12" s="2" t="s">
        <v>23</v>
      </c>
      <c r="C12" s="2" t="s">
        <v>20</v>
      </c>
      <c r="D12" s="2" t="s">
        <v>24</v>
      </c>
    </row>
    <row r="14" spans="1:4">
      <c r="A14" s="34" t="s">
        <v>25</v>
      </c>
      <c r="B14" s="34"/>
      <c r="C14" s="34"/>
      <c r="D14" s="34"/>
    </row>
    <row r="15" spans="1:4">
      <c r="A15" s="2" t="s">
        <v>26</v>
      </c>
      <c r="B15" s="35" t="s">
        <v>27</v>
      </c>
      <c r="C15" s="35"/>
      <c r="D15" s="35"/>
    </row>
    <row r="16" spans="1:4">
      <c r="A16" s="2" t="s">
        <v>28</v>
      </c>
      <c r="B16" s="35" t="s">
        <v>29</v>
      </c>
      <c r="C16" s="35"/>
      <c r="D16" s="35"/>
    </row>
  </sheetData>
  <mergeCells count="4">
    <mergeCell ref="A1:D1"/>
    <mergeCell ref="A14:D14"/>
    <mergeCell ref="B15:D15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showGridLines="0" workbookViewId="0">
      <selection sqref="A1:O1"/>
    </sheetView>
  </sheetViews>
  <sheetFormatPr defaultRowHeight="13.8"/>
  <cols>
    <col min="1" max="1" width="26" customWidth="1"/>
    <col min="2" max="15" width="11" customWidth="1"/>
  </cols>
  <sheetData>
    <row r="1" spans="1:15" ht="28.05" customHeight="1">
      <c r="A1" s="33" t="s">
        <v>30</v>
      </c>
      <c r="B1" s="33" t="s">
        <v>30</v>
      </c>
      <c r="C1" s="33" t="s">
        <v>30</v>
      </c>
      <c r="D1" s="33" t="s">
        <v>30</v>
      </c>
      <c r="E1" s="33" t="s">
        <v>30</v>
      </c>
      <c r="F1" s="33" t="s">
        <v>30</v>
      </c>
      <c r="G1" s="33" t="s">
        <v>30</v>
      </c>
      <c r="H1" s="33" t="s">
        <v>30</v>
      </c>
      <c r="I1" s="33" t="s">
        <v>30</v>
      </c>
      <c r="J1" s="33" t="s">
        <v>30</v>
      </c>
      <c r="K1" s="33" t="s">
        <v>30</v>
      </c>
      <c r="L1" s="33" t="s">
        <v>30</v>
      </c>
      <c r="M1" s="33" t="s">
        <v>30</v>
      </c>
      <c r="N1" s="33" t="s">
        <v>30</v>
      </c>
      <c r="O1" s="33" t="s">
        <v>30</v>
      </c>
    </row>
    <row r="3" spans="1:15">
      <c r="A3" s="36" t="s">
        <v>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5">
      <c r="A4" s="5" t="s">
        <v>32</v>
      </c>
      <c r="B4" s="6">
        <v>0.25</v>
      </c>
      <c r="C4" s="6">
        <v>0.5</v>
      </c>
      <c r="D4" s="6">
        <v>0.75</v>
      </c>
      <c r="E4" s="6">
        <v>1</v>
      </c>
      <c r="F4" s="6">
        <v>2</v>
      </c>
      <c r="G4" s="6">
        <v>3</v>
      </c>
      <c r="H4" s="6">
        <v>5</v>
      </c>
      <c r="I4" s="6">
        <v>7</v>
      </c>
      <c r="J4" s="6">
        <v>10</v>
      </c>
      <c r="K4" s="6">
        <v>15</v>
      </c>
      <c r="L4" s="6">
        <v>20</v>
      </c>
      <c r="M4" s="7"/>
      <c r="N4" s="7"/>
    </row>
    <row r="5" spans="1:15">
      <c r="A5" s="2" t="s">
        <v>33</v>
      </c>
      <c r="B5" s="8">
        <v>13.59</v>
      </c>
      <c r="C5" s="8">
        <v>13.44</v>
      </c>
      <c r="D5" s="8">
        <v>13.39</v>
      </c>
      <c r="E5" s="8">
        <v>13.41</v>
      </c>
      <c r="F5" s="8">
        <v>13.87</v>
      </c>
      <c r="G5" s="8">
        <v>14.47</v>
      </c>
      <c r="H5" s="8">
        <v>15.42</v>
      </c>
      <c r="I5" s="8">
        <v>15.98</v>
      </c>
      <c r="J5" s="8">
        <v>16.38</v>
      </c>
      <c r="K5" s="8">
        <v>16.649999999999999</v>
      </c>
      <c r="L5" s="8">
        <v>16.78</v>
      </c>
      <c r="M5" s="7"/>
      <c r="N5" s="7"/>
    </row>
    <row r="6" spans="1:1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>
      <c r="A7" s="36" t="s">
        <v>15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5">
      <c r="A8" s="5" t="s">
        <v>32</v>
      </c>
      <c r="B8" s="6">
        <v>0</v>
      </c>
      <c r="C8" s="6">
        <v>0.25</v>
      </c>
      <c r="D8" s="6">
        <v>0.5</v>
      </c>
      <c r="E8" s="6">
        <v>0.75</v>
      </c>
      <c r="F8" s="6">
        <v>1</v>
      </c>
      <c r="G8" s="6">
        <v>2</v>
      </c>
      <c r="H8" s="6">
        <v>3</v>
      </c>
      <c r="I8" s="6">
        <v>5</v>
      </c>
      <c r="J8" s="6">
        <v>7</v>
      </c>
      <c r="K8" s="6">
        <v>10</v>
      </c>
      <c r="L8" s="6">
        <v>15</v>
      </c>
      <c r="M8" s="6">
        <v>20</v>
      </c>
      <c r="N8" s="6">
        <v>30</v>
      </c>
    </row>
    <row r="9" spans="1:15">
      <c r="A9" s="2" t="s">
        <v>34</v>
      </c>
      <c r="B9" s="8">
        <v>15.59</v>
      </c>
      <c r="C9" s="8">
        <v>15.59</v>
      </c>
      <c r="D9" s="8">
        <v>15.44</v>
      </c>
      <c r="E9" s="8">
        <v>15.39</v>
      </c>
      <c r="F9" s="8">
        <v>15.41</v>
      </c>
      <c r="G9" s="8">
        <v>15.87</v>
      </c>
      <c r="H9" s="8">
        <v>16.47</v>
      </c>
      <c r="I9" s="8">
        <v>17.420000000000002</v>
      </c>
      <c r="J9" s="8">
        <v>17.98</v>
      </c>
      <c r="K9" s="8">
        <v>18.38</v>
      </c>
      <c r="L9" s="8">
        <v>18.649999999999999</v>
      </c>
      <c r="M9" s="8">
        <v>18.78</v>
      </c>
      <c r="N9" s="8">
        <v>18.93</v>
      </c>
    </row>
    <row r="10" spans="1:1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5">
      <c r="A11" s="36" t="s">
        <v>35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7"/>
      <c r="M11" s="7"/>
      <c r="N11" s="7"/>
    </row>
    <row r="12" spans="1:15">
      <c r="A12" s="5" t="s">
        <v>32</v>
      </c>
      <c r="B12" s="6">
        <v>0.25</v>
      </c>
      <c r="C12" s="6">
        <v>0.5</v>
      </c>
      <c r="D12" s="6">
        <v>1</v>
      </c>
      <c r="E12" s="6">
        <v>2</v>
      </c>
      <c r="F12" s="6">
        <v>3</v>
      </c>
      <c r="G12" s="6">
        <v>5</v>
      </c>
      <c r="H12" s="6">
        <v>7</v>
      </c>
      <c r="I12" s="6">
        <v>10</v>
      </c>
      <c r="J12" s="6">
        <v>20</v>
      </c>
      <c r="K12" s="6">
        <v>30</v>
      </c>
      <c r="L12" s="7"/>
      <c r="M12" s="7"/>
      <c r="N12" s="7"/>
    </row>
    <row r="13" spans="1:15">
      <c r="A13" s="2" t="s">
        <v>36</v>
      </c>
      <c r="B13" s="8">
        <v>62</v>
      </c>
      <c r="C13" s="8">
        <v>59</v>
      </c>
      <c r="D13" s="8">
        <v>58</v>
      </c>
      <c r="E13" s="8">
        <v>55</v>
      </c>
      <c r="F13" s="8">
        <v>54</v>
      </c>
      <c r="G13" s="8">
        <v>48</v>
      </c>
      <c r="H13" s="8">
        <v>42</v>
      </c>
      <c r="I13" s="8">
        <v>34</v>
      </c>
      <c r="J13" s="8">
        <v>20</v>
      </c>
      <c r="K13" s="8">
        <v>14</v>
      </c>
      <c r="L13" s="7"/>
      <c r="M13" s="7"/>
      <c r="N13" s="7"/>
    </row>
    <row r="14" spans="1:15">
      <c r="A14" s="2" t="s">
        <v>37</v>
      </c>
      <c r="B14" s="8">
        <v>-38</v>
      </c>
      <c r="C14" s="8">
        <v>-35</v>
      </c>
      <c r="D14" s="8">
        <v>-31</v>
      </c>
      <c r="E14" s="8">
        <v>-29</v>
      </c>
      <c r="F14" s="8">
        <v>-28</v>
      </c>
      <c r="G14" s="8">
        <v>-27</v>
      </c>
      <c r="H14" s="8">
        <v>-26</v>
      </c>
      <c r="I14" s="8">
        <v>-24</v>
      </c>
      <c r="J14" s="8">
        <v>-18</v>
      </c>
      <c r="K14" s="8">
        <v>-15</v>
      </c>
      <c r="L14" s="7"/>
      <c r="M14" s="7"/>
      <c r="N14" s="7"/>
    </row>
    <row r="15" spans="1:1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5">
      <c r="A16" s="36" t="s">
        <v>38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7"/>
      <c r="N16" s="7"/>
    </row>
    <row r="17" spans="1:14">
      <c r="A17" s="5" t="s">
        <v>32</v>
      </c>
      <c r="B17" s="6">
        <v>0</v>
      </c>
      <c r="C17" s="6">
        <v>0.08</v>
      </c>
      <c r="D17" s="6">
        <v>0.25</v>
      </c>
      <c r="E17" s="6">
        <v>0.5</v>
      </c>
      <c r="F17" s="6">
        <v>0.75</v>
      </c>
      <c r="G17" s="6">
        <v>1</v>
      </c>
      <c r="H17" s="6">
        <v>2</v>
      </c>
      <c r="I17" s="6">
        <v>3</v>
      </c>
      <c r="J17" s="6">
        <v>4</v>
      </c>
      <c r="K17" s="6">
        <v>5</v>
      </c>
      <c r="L17" s="6">
        <v>100</v>
      </c>
      <c r="M17" s="7"/>
      <c r="N17" s="7"/>
    </row>
    <row r="18" spans="1:14">
      <c r="A18" s="2" t="s">
        <v>39</v>
      </c>
      <c r="B18" s="8">
        <v>5.75</v>
      </c>
      <c r="C18" s="8">
        <v>5.75</v>
      </c>
      <c r="D18" s="8">
        <v>5.75</v>
      </c>
      <c r="E18" s="8">
        <v>4.8</v>
      </c>
      <c r="F18" s="8">
        <v>5.2</v>
      </c>
      <c r="G18" s="8">
        <v>6</v>
      </c>
      <c r="H18" s="8">
        <v>7.25</v>
      </c>
      <c r="I18" s="8">
        <v>6.4</v>
      </c>
      <c r="J18" s="8">
        <v>6.15</v>
      </c>
      <c r="K18" s="8">
        <v>5.4</v>
      </c>
      <c r="L18" s="8">
        <v>5.4</v>
      </c>
      <c r="M18" s="7"/>
      <c r="N18" s="7"/>
    </row>
    <row r="19" spans="1:14">
      <c r="A19" s="2" t="s">
        <v>40</v>
      </c>
      <c r="B19" s="8">
        <v>-2.5499999999999998</v>
      </c>
      <c r="C19" s="8">
        <v>-2.5499999999999998</v>
      </c>
      <c r="D19" s="8">
        <v>-2.5499999999999998</v>
      </c>
      <c r="E19" s="8">
        <v>-3.35</v>
      </c>
      <c r="F19" s="8">
        <v>-4.3</v>
      </c>
      <c r="G19" s="8">
        <v>-5</v>
      </c>
      <c r="H19" s="8">
        <v>-4.7</v>
      </c>
      <c r="I19" s="8">
        <v>-3.65</v>
      </c>
      <c r="J19" s="8">
        <v>-2.85</v>
      </c>
      <c r="K19" s="8">
        <v>-1.9</v>
      </c>
      <c r="L19" s="8">
        <v>-1.9</v>
      </c>
      <c r="M19" s="7"/>
      <c r="N19" s="7"/>
    </row>
  </sheetData>
  <mergeCells count="5">
    <mergeCell ref="A1:O1"/>
    <mergeCell ref="A3:L3"/>
    <mergeCell ref="A7:N7"/>
    <mergeCell ref="A11:K11"/>
    <mergeCell ref="A16:L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3"/>
  <sheetViews>
    <sheetView showGridLines="0" tabSelected="1" workbookViewId="0">
      <selection activeCell="A6" sqref="A6"/>
    </sheetView>
  </sheetViews>
  <sheetFormatPr defaultRowHeight="13.8"/>
  <cols>
    <col min="1" max="1" width="15" customWidth="1"/>
    <col min="2" max="2" width="10" customWidth="1"/>
    <col min="3" max="3" width="20" customWidth="1"/>
    <col min="4" max="9" width="21" customWidth="1"/>
  </cols>
  <sheetData>
    <row r="1" spans="1:9" ht="28.05" customHeight="1">
      <c r="A1" s="33" t="s">
        <v>41</v>
      </c>
      <c r="B1" s="33" t="s">
        <v>41</v>
      </c>
      <c r="C1" s="33" t="s">
        <v>41</v>
      </c>
      <c r="D1" s="33" t="s">
        <v>41</v>
      </c>
      <c r="E1" s="33" t="s">
        <v>41</v>
      </c>
      <c r="F1" s="33" t="s">
        <v>41</v>
      </c>
      <c r="G1" s="33" t="s">
        <v>41</v>
      </c>
      <c r="H1" s="33" t="s">
        <v>41</v>
      </c>
      <c r="I1" s="33" t="s">
        <v>41</v>
      </c>
    </row>
    <row r="3" spans="1:9" ht="42" customHeight="1">
      <c r="A3" s="1" t="s">
        <v>42</v>
      </c>
      <c r="B3" s="1" t="s">
        <v>43</v>
      </c>
      <c r="C3" s="1" t="s">
        <v>44</v>
      </c>
      <c r="D3" s="1" t="s">
        <v>33</v>
      </c>
      <c r="E3" s="1" t="s">
        <v>45</v>
      </c>
      <c r="F3" s="1" t="s">
        <v>36</v>
      </c>
      <c r="G3" s="1" t="s">
        <v>37</v>
      </c>
      <c r="H3" s="1" t="s">
        <v>46</v>
      </c>
      <c r="I3" s="1" t="s">
        <v>47</v>
      </c>
    </row>
    <row r="4" spans="1:9">
      <c r="A4" s="13">
        <v>46203</v>
      </c>
      <c r="B4" s="14">
        <f>A4-Настройки!$B$4</f>
        <v>0</v>
      </c>
      <c r="C4" s="15">
        <f>B4/Настройки!$B$5</f>
        <v>0</v>
      </c>
      <c r="D4" s="15">
        <f>IF(C4&lt;=MIN('Исходные кривые'!$B$4:$L$4),INDEX('Исходные кривые'!$B$5:$L$5,1,1),IF(C4&gt;=MAX('Исходные кривые'!$B$4:$L$4),INDEX('Исходные кривые'!$B$5:$L$5,1,COLUMNS('Исходные кривые'!$B$5:$L$5)),INDEX('Исходные кривые'!$B$5:$L$5,1,MATCH(C4,'Исходные кривые'!$B$4:$L$4,1))+(C4-INDEX('Исходные кривые'!$B$4:$L$4,1,MATCH(C4,'Исходные кривые'!$B$4:$L$4,1)))*(INDEX('Исходные кривые'!$B$5:$L$5,1,MATCH(C4,'Исходные кривые'!$B$4:$L$4,1)+1)-INDEX('Исходные кривые'!$B$5:$L$5,1,MATCH(C4,'Исходные кривые'!$B$4:$L$4,1)))/(INDEX('Исходные кривые'!$B$4:$L$4,1,MATCH(C4,'Исходные кривые'!$B$4:$L$4,1)+1)-INDEX('Исходные кривые'!$B$4:$L$4,1,MATCH(C4,'Исходные кривые'!$B$4:$L$4,1)))))</f>
        <v>13.59</v>
      </c>
      <c r="E4" s="15">
        <f>IF(C4&lt;=MIN('Исходные кривые'!$B$8:$N$8),INDEX('Исходные кривые'!$B$9:$N$9,1,1),IF(C4&gt;=MAX('Исходные кривые'!$B$8:$N$8),INDEX('Исходные кривые'!$B$9:$N$9,1,COLUMNS('Исходные кривые'!$B$9:$N$9)),INDEX('Исходные кривые'!$B$9:$N$9,1,MATCH(C4,'Исходные кривые'!$B$8:$N$8,1))+(C4-INDEX('Исходные кривые'!$B$8:$N$8,1,MATCH(C4,'Исходные кривые'!$B$8:$N$8,1)))*(INDEX('Исходные кривые'!$B$9:$N$9,1,MATCH(C4,'Исходные кривые'!$B$8:$N$8,1)+1)-INDEX('Исходные кривые'!$B$9:$N$9,1,MATCH(C4,'Исходные кривые'!$B$8:$N$8,1)))/(INDEX('Исходные кривые'!$B$8:$N$8,1,MATCH(C4,'Исходные кривые'!$B$8:$N$8,1)+1)-INDEX('Исходные кривые'!$B$8:$N$8,1,MATCH(C4,'Исходные кривые'!$B$8:$N$8,1)))))</f>
        <v>15.59</v>
      </c>
      <c r="F4" s="15">
        <f>IF(C4&lt;=MIN('Исходные кривые'!$B$12:$K$12),INDEX('Исходные кривые'!$B$13:$K$13,1,1),IF(C4&gt;=MAX('Исходные кривые'!$B$12:$K$12),INDEX('Исходные кривые'!$B$13:$K$13,1,COLUMNS('Исходные кривые'!$B$13:$K$13)),INDEX('Исходные кривые'!$B$13:$K$13,1,MATCH(C4,'Исходные кривые'!$B$12:$K$12,1))+(C4-INDEX('Исходные кривые'!$B$12:$K$12,1,MATCH(C4,'Исходные кривые'!$B$12:$K$12,1)))*(INDEX('Исходные кривые'!$B$13:$K$13,1,MATCH(C4,'Исходные кривые'!$B$12:$K$12,1)+1)-INDEX('Исходные кривые'!$B$13:$K$13,1,MATCH(C4,'Исходные кривые'!$B$12:$K$12,1)))/(INDEX('Исходные кривые'!$B$12:$K$12,1,MATCH(C4,'Исходные кривые'!$B$12:$K$12,1)+1)-INDEX('Исходные кривые'!$B$12:$K$12,1,MATCH(C4,'Исходные кривые'!$B$12:$K$12,1)))))</f>
        <v>62</v>
      </c>
      <c r="G4" s="15">
        <f>IF(C4&lt;=MIN('Исходные кривые'!$B$12:$K$12),INDEX('Исходные кривые'!$B$14:$K$14,1,1),IF(C4&gt;=MAX('Исходные кривые'!$B$12:$K$12),INDEX('Исходные кривые'!$B$14:$K$14,1,COLUMNS('Исходные кривые'!$B$14:$K$14)),INDEX('Исходные кривые'!$B$14:$K$14,1,MATCH(C4,'Исходные кривые'!$B$12:$K$12,1))+(C4-INDEX('Исходные кривые'!$B$12:$K$12,1,MATCH(C4,'Исходные кривые'!$B$12:$K$12,1)))*(INDEX('Исходные кривые'!$B$14:$K$14,1,MATCH(C4,'Исходные кривые'!$B$12:$K$12,1)+1)-INDEX('Исходные кривые'!$B$14:$K$14,1,MATCH(C4,'Исходные кривые'!$B$12:$K$12,1)))/(INDEX('Исходные кривые'!$B$12:$K$12,1,MATCH(C4,'Исходные кривые'!$B$12:$K$12,1)+1)-INDEX('Исходные кривые'!$B$12:$K$12,1,MATCH(C4,'Исходные кривые'!$B$12:$K$12,1)))))</f>
        <v>-38</v>
      </c>
      <c r="H4" s="15">
        <f>IF(C4&lt;=MIN('Исходные кривые'!$B$17:$L$17),INDEX('Исходные кривые'!$B$18:$L$18,1,1),IF(C4&gt;=MAX('Исходные кривые'!$B$17:$L$17),INDEX('Исходные кривые'!$B$18:$L$18,1,COLUMNS('Исходные кривые'!$B$18:$L$18)),INDEX('Исходные кривые'!$B$18:$L$18,1,MATCH(C4,'Исходные кривые'!$B$17:$L$17,1))+(C4-INDEX('Исходные кривые'!$B$17:$L$17,1,MATCH(C4,'Исходные кривые'!$B$17:$L$17,1)))*(INDEX('Исходные кривые'!$B$18:$L$18,1,MATCH(C4,'Исходные кривые'!$B$17:$L$17,1)+1)-INDEX('Исходные кривые'!$B$18:$L$18,1,MATCH(C4,'Исходные кривые'!$B$17:$L$17,1)))/(INDEX('Исходные кривые'!$B$17:$L$17,1,MATCH(C4,'Исходные кривые'!$B$17:$L$17,1)+1)-INDEX('Исходные кривые'!$B$17:$L$17,1,MATCH(C4,'Исходные кривые'!$B$17:$L$17,1)))))</f>
        <v>5.75</v>
      </c>
      <c r="I4" s="15">
        <f>IF(C4&lt;=MIN('Исходные кривые'!$B$17:$L$17),INDEX('Исходные кривые'!$B$19:$L$19,1,1),IF(C4&gt;=MAX('Исходные кривые'!$B$17:$L$17),INDEX('Исходные кривые'!$B$19:$L$19,1,COLUMNS('Исходные кривые'!$B$19:$L$19)),INDEX('Исходные кривые'!$B$19:$L$19,1,MATCH(C4,'Исходные кривые'!$B$17:$L$17,1))+(C4-INDEX('Исходные кривые'!$B$17:$L$17,1,MATCH(C4,'Исходные кривые'!$B$17:$L$17,1)))*(INDEX('Исходные кривые'!$B$19:$L$19,1,MATCH(C4,'Исходные кривые'!$B$17:$L$17,1)+1)-INDEX('Исходные кривые'!$B$19:$L$19,1,MATCH(C4,'Исходные кривые'!$B$17:$L$17,1)))/(INDEX('Исходные кривые'!$B$17:$L$17,1,MATCH(C4,'Исходные кривые'!$B$17:$L$17,1)+1)-INDEX('Исходные кривые'!$B$17:$L$17,1,MATCH(C4,'Исходные кривые'!$B$17:$L$17,1)))))</f>
        <v>-2.5499999999999998</v>
      </c>
    </row>
    <row r="5" spans="1:9">
      <c r="A5" s="13">
        <v>46568</v>
      </c>
      <c r="B5" s="14">
        <f>A5-Настройки!$B$4</f>
        <v>365</v>
      </c>
      <c r="C5" s="15">
        <f>B5/Настройки!$B$5</f>
        <v>1</v>
      </c>
      <c r="D5" s="15">
        <f>IF(C5&lt;=MIN('Исходные кривые'!$B$4:$L$4),INDEX('Исходные кривые'!$B$5:$L$5,1,1),IF(C5&gt;=MAX('Исходные кривые'!$B$4:$L$4),INDEX('Исходные кривые'!$B$5:$L$5,1,COLUMNS('Исходные кривые'!$B$5:$L$5)),INDEX('Исходные кривые'!$B$5:$L$5,1,MATCH(C5,'Исходные кривые'!$B$4:$L$4,1))+(C5-INDEX('Исходные кривые'!$B$4:$L$4,1,MATCH(C5,'Исходные кривые'!$B$4:$L$4,1)))*(INDEX('Исходные кривые'!$B$5:$L$5,1,MATCH(C5,'Исходные кривые'!$B$4:$L$4,1)+1)-INDEX('Исходные кривые'!$B$5:$L$5,1,MATCH(C5,'Исходные кривые'!$B$4:$L$4,1)))/(INDEX('Исходные кривые'!$B$4:$L$4,1,MATCH(C5,'Исходные кривые'!$B$4:$L$4,1)+1)-INDEX('Исходные кривые'!$B$4:$L$4,1,MATCH(C5,'Исходные кривые'!$B$4:$L$4,1)))))</f>
        <v>13.41</v>
      </c>
      <c r="E5" s="15">
        <f>IF(C5&lt;=MIN('Исходные кривые'!$B$8:$N$8),INDEX('Исходные кривые'!$B$9:$N$9,1,1),IF(C5&gt;=MAX('Исходные кривые'!$B$8:$N$8),INDEX('Исходные кривые'!$B$9:$N$9,1,COLUMNS('Исходные кривые'!$B$9:$N$9)),INDEX('Исходные кривые'!$B$9:$N$9,1,MATCH(C5,'Исходные кривые'!$B$8:$N$8,1))+(C5-INDEX('Исходные кривые'!$B$8:$N$8,1,MATCH(C5,'Исходные кривые'!$B$8:$N$8,1)))*(INDEX('Исходные кривые'!$B$9:$N$9,1,MATCH(C5,'Исходные кривые'!$B$8:$N$8,1)+1)-INDEX('Исходные кривые'!$B$9:$N$9,1,MATCH(C5,'Исходные кривые'!$B$8:$N$8,1)))/(INDEX('Исходные кривые'!$B$8:$N$8,1,MATCH(C5,'Исходные кривые'!$B$8:$N$8,1)+1)-INDEX('Исходные кривые'!$B$8:$N$8,1,MATCH(C5,'Исходные кривые'!$B$8:$N$8,1)))))</f>
        <v>15.41</v>
      </c>
      <c r="F5" s="15">
        <f>IF(C5&lt;=MIN('Исходные кривые'!$B$12:$K$12),INDEX('Исходные кривые'!$B$13:$K$13,1,1),IF(C5&gt;=MAX('Исходные кривые'!$B$12:$K$12),INDEX('Исходные кривые'!$B$13:$K$13,1,COLUMNS('Исходные кривые'!$B$13:$K$13)),INDEX('Исходные кривые'!$B$13:$K$13,1,MATCH(C5,'Исходные кривые'!$B$12:$K$12,1))+(C5-INDEX('Исходные кривые'!$B$12:$K$12,1,MATCH(C5,'Исходные кривые'!$B$12:$K$12,1)))*(INDEX('Исходные кривые'!$B$13:$K$13,1,MATCH(C5,'Исходные кривые'!$B$12:$K$12,1)+1)-INDEX('Исходные кривые'!$B$13:$K$13,1,MATCH(C5,'Исходные кривые'!$B$12:$K$12,1)))/(INDEX('Исходные кривые'!$B$12:$K$12,1,MATCH(C5,'Исходные кривые'!$B$12:$K$12,1)+1)-INDEX('Исходные кривые'!$B$12:$K$12,1,MATCH(C5,'Исходные кривые'!$B$12:$K$12,1)))))</f>
        <v>58</v>
      </c>
      <c r="G5" s="15">
        <f>IF(C5&lt;=MIN('Исходные кривые'!$B$12:$K$12),INDEX('Исходные кривые'!$B$14:$K$14,1,1),IF(C5&gt;=MAX('Исходные кривые'!$B$12:$K$12),INDEX('Исходные кривые'!$B$14:$K$14,1,COLUMNS('Исходные кривые'!$B$14:$K$14)),INDEX('Исходные кривые'!$B$14:$K$14,1,MATCH(C5,'Исходные кривые'!$B$12:$K$12,1))+(C5-INDEX('Исходные кривые'!$B$12:$K$12,1,MATCH(C5,'Исходные кривые'!$B$12:$K$12,1)))*(INDEX('Исходные кривые'!$B$14:$K$14,1,MATCH(C5,'Исходные кривые'!$B$12:$K$12,1)+1)-INDEX('Исходные кривые'!$B$14:$K$14,1,MATCH(C5,'Исходные кривые'!$B$12:$K$12,1)))/(INDEX('Исходные кривые'!$B$12:$K$12,1,MATCH(C5,'Исходные кривые'!$B$12:$K$12,1)+1)-INDEX('Исходные кривые'!$B$12:$K$12,1,MATCH(C5,'Исходные кривые'!$B$12:$K$12,1)))))</f>
        <v>-31</v>
      </c>
      <c r="H5" s="15">
        <f>IF(C5&lt;=MIN('Исходные кривые'!$B$17:$L$17),INDEX('Исходные кривые'!$B$18:$L$18,1,1),IF(C5&gt;=MAX('Исходные кривые'!$B$17:$L$17),INDEX('Исходные кривые'!$B$18:$L$18,1,COLUMNS('Исходные кривые'!$B$18:$L$18)),INDEX('Исходные кривые'!$B$18:$L$18,1,MATCH(C5,'Исходные кривые'!$B$17:$L$17,1))+(C5-INDEX('Исходные кривые'!$B$17:$L$17,1,MATCH(C5,'Исходные кривые'!$B$17:$L$17,1)))*(INDEX('Исходные кривые'!$B$18:$L$18,1,MATCH(C5,'Исходные кривые'!$B$17:$L$17,1)+1)-INDEX('Исходные кривые'!$B$18:$L$18,1,MATCH(C5,'Исходные кривые'!$B$17:$L$17,1)))/(INDEX('Исходные кривые'!$B$17:$L$17,1,MATCH(C5,'Исходные кривые'!$B$17:$L$17,1)+1)-INDEX('Исходные кривые'!$B$17:$L$17,1,MATCH(C5,'Исходные кривые'!$B$17:$L$17,1)))))</f>
        <v>6</v>
      </c>
      <c r="I5" s="15">
        <f>IF(C5&lt;=MIN('Исходные кривые'!$B$17:$L$17),INDEX('Исходные кривые'!$B$19:$L$19,1,1),IF(C5&gt;=MAX('Исходные кривые'!$B$17:$L$17),INDEX('Исходные кривые'!$B$19:$L$19,1,COLUMNS('Исходные кривые'!$B$19:$L$19)),INDEX('Исходные кривые'!$B$19:$L$19,1,MATCH(C5,'Исходные кривые'!$B$17:$L$17,1))+(C5-INDEX('Исходные кривые'!$B$17:$L$17,1,MATCH(C5,'Исходные кривые'!$B$17:$L$17,1)))*(INDEX('Исходные кривые'!$B$19:$L$19,1,MATCH(C5,'Исходные кривые'!$B$17:$L$17,1)+1)-INDEX('Исходные кривые'!$B$19:$L$19,1,MATCH(C5,'Исходные кривые'!$B$17:$L$17,1)))/(INDEX('Исходные кривые'!$B$17:$L$17,1,MATCH(C5,'Исходные кривые'!$B$17:$L$17,1)+1)-INDEX('Исходные кривые'!$B$17:$L$17,1,MATCH(C5,'Исходные кривые'!$B$17:$L$17,1)))))</f>
        <v>-5</v>
      </c>
    </row>
    <row r="6" spans="1:9">
      <c r="A6" s="13">
        <v>46934</v>
      </c>
      <c r="B6" s="14">
        <f>A6-Настройки!$B$4</f>
        <v>731</v>
      </c>
      <c r="C6" s="15">
        <f>B6/Настройки!$B$5</f>
        <v>2.0027397260273974</v>
      </c>
      <c r="D6" s="15">
        <f>IF(C6&lt;=MIN('Исходные кривые'!$B$4:$L$4),INDEX('Исходные кривые'!$B$5:$L$5,1,1),IF(C6&gt;=MAX('Исходные кривые'!$B$4:$L$4),INDEX('Исходные кривые'!$B$5:$L$5,1,COLUMNS('Исходные кривые'!$B$5:$L$5)),INDEX('Исходные кривые'!$B$5:$L$5,1,MATCH(C6,'Исходные кривые'!$B$4:$L$4,1))+(C6-INDEX('Исходные кривые'!$B$4:$L$4,1,MATCH(C6,'Исходные кривые'!$B$4:$L$4,1)))*(INDEX('Исходные кривые'!$B$5:$L$5,1,MATCH(C6,'Исходные кривые'!$B$4:$L$4,1)+1)-INDEX('Исходные кривые'!$B$5:$L$5,1,MATCH(C6,'Исходные кривые'!$B$4:$L$4,1)))/(INDEX('Исходные кривые'!$B$4:$L$4,1,MATCH(C6,'Исходные кривые'!$B$4:$L$4,1)+1)-INDEX('Исходные кривые'!$B$4:$L$4,1,MATCH(C6,'Исходные кривые'!$B$4:$L$4,1)))))</f>
        <v>13.871643835616437</v>
      </c>
      <c r="E6" s="15">
        <f>IF(C6&lt;=MIN('Исходные кривые'!$B$8:$N$8),INDEX('Исходные кривые'!$B$9:$N$9,1,1),IF(C6&gt;=MAX('Исходные кривые'!$B$8:$N$8),INDEX('Исходные кривые'!$B$9:$N$9,1,COLUMNS('Исходные кривые'!$B$9:$N$9)),INDEX('Исходные кривые'!$B$9:$N$9,1,MATCH(C6,'Исходные кривые'!$B$8:$N$8,1))+(C6-INDEX('Исходные кривые'!$B$8:$N$8,1,MATCH(C6,'Исходные кривые'!$B$8:$N$8,1)))*(INDEX('Исходные кривые'!$B$9:$N$9,1,MATCH(C6,'Исходные кривые'!$B$8:$N$8,1)+1)-INDEX('Исходные кривые'!$B$9:$N$9,1,MATCH(C6,'Исходные кривые'!$B$8:$N$8,1)))/(INDEX('Исходные кривые'!$B$8:$N$8,1,MATCH(C6,'Исходные кривые'!$B$8:$N$8,1)+1)-INDEX('Исходные кривые'!$B$8:$N$8,1,MATCH(C6,'Исходные кривые'!$B$8:$N$8,1)))))</f>
        <v>15.871643835616437</v>
      </c>
      <c r="F6" s="15">
        <f>IF(C6&lt;=MIN('Исходные кривые'!$B$12:$K$12),INDEX('Исходные кривые'!$B$13:$K$13,1,1),IF(C6&gt;=MAX('Исходные кривые'!$B$12:$K$12),INDEX('Исходные кривые'!$B$13:$K$13,1,COLUMNS('Исходные кривые'!$B$13:$K$13)),INDEX('Исходные кривые'!$B$13:$K$13,1,MATCH(C6,'Исходные кривые'!$B$12:$K$12,1))+(C6-INDEX('Исходные кривые'!$B$12:$K$12,1,MATCH(C6,'Исходные кривые'!$B$12:$K$12,1)))*(INDEX('Исходные кривые'!$B$13:$K$13,1,MATCH(C6,'Исходные кривые'!$B$12:$K$12,1)+1)-INDEX('Исходные кривые'!$B$13:$K$13,1,MATCH(C6,'Исходные кривые'!$B$12:$K$12,1)))/(INDEX('Исходные кривые'!$B$12:$K$12,1,MATCH(C6,'Исходные кривые'!$B$12:$K$12,1)+1)-INDEX('Исходные кривые'!$B$12:$K$12,1,MATCH(C6,'Исходные кривые'!$B$12:$K$12,1)))))</f>
        <v>54.9972602739726</v>
      </c>
      <c r="G6" s="15">
        <f>IF(C6&lt;=MIN('Исходные кривые'!$B$12:$K$12),INDEX('Исходные кривые'!$B$14:$K$14,1,1),IF(C6&gt;=MAX('Исходные кривые'!$B$12:$K$12),INDEX('Исходные кривые'!$B$14:$K$14,1,COLUMNS('Исходные кривые'!$B$14:$K$14)),INDEX('Исходные кривые'!$B$14:$K$14,1,MATCH(C6,'Исходные кривые'!$B$12:$K$12,1))+(C6-INDEX('Исходные кривые'!$B$12:$K$12,1,MATCH(C6,'Исходные кривые'!$B$12:$K$12,1)))*(INDEX('Исходные кривые'!$B$14:$K$14,1,MATCH(C6,'Исходные кривые'!$B$12:$K$12,1)+1)-INDEX('Исходные кривые'!$B$14:$K$14,1,MATCH(C6,'Исходные кривые'!$B$12:$K$12,1)))/(INDEX('Исходные кривые'!$B$12:$K$12,1,MATCH(C6,'Исходные кривые'!$B$12:$K$12,1)+1)-INDEX('Исходные кривые'!$B$12:$K$12,1,MATCH(C6,'Исходные кривые'!$B$12:$K$12,1)))))</f>
        <v>-28.997260273972604</v>
      </c>
      <c r="H6" s="15">
        <f>IF(C6&lt;=MIN('Исходные кривые'!$B$17:$L$17),INDEX('Исходные кривые'!$B$18:$L$18,1,1),IF(C6&gt;=MAX('Исходные кривые'!$B$17:$L$17),INDEX('Исходные кривые'!$B$18:$L$18,1,COLUMNS('Исходные кривые'!$B$18:$L$18)),INDEX('Исходные кривые'!$B$18:$L$18,1,MATCH(C6,'Исходные кривые'!$B$17:$L$17,1))+(C6-INDEX('Исходные кривые'!$B$17:$L$17,1,MATCH(C6,'Исходные кривые'!$B$17:$L$17,1)))*(INDEX('Исходные кривые'!$B$18:$L$18,1,MATCH(C6,'Исходные кривые'!$B$17:$L$17,1)+1)-INDEX('Исходные кривые'!$B$18:$L$18,1,MATCH(C6,'Исходные кривые'!$B$17:$L$17,1)))/(INDEX('Исходные кривые'!$B$17:$L$17,1,MATCH(C6,'Исходные кривые'!$B$17:$L$17,1)+1)-INDEX('Исходные кривые'!$B$17:$L$17,1,MATCH(C6,'Исходные кривые'!$B$17:$L$17,1)))))</f>
        <v>7.2476712328767121</v>
      </c>
      <c r="I6" s="15">
        <f>IF(C6&lt;=MIN('Исходные кривые'!$B$17:$L$17),INDEX('Исходные кривые'!$B$19:$L$19,1,1),IF(C6&gt;=MAX('Исходные кривые'!$B$17:$L$17),INDEX('Исходные кривые'!$B$19:$L$19,1,COLUMNS('Исходные кривые'!$B$19:$L$19)),INDEX('Исходные кривые'!$B$19:$L$19,1,MATCH(C6,'Исходные кривые'!$B$17:$L$17,1))+(C6-INDEX('Исходные кривые'!$B$17:$L$17,1,MATCH(C6,'Исходные кривые'!$B$17:$L$17,1)))*(INDEX('Исходные кривые'!$B$19:$L$19,1,MATCH(C6,'Исходные кривые'!$B$17:$L$17,1)+1)-INDEX('Исходные кривые'!$B$19:$L$19,1,MATCH(C6,'Исходные кривые'!$B$17:$L$17,1)))/(INDEX('Исходные кривые'!$B$17:$L$17,1,MATCH(C6,'Исходные кривые'!$B$17:$L$17,1)+1)-INDEX('Исходные кривые'!$B$17:$L$17,1,MATCH(C6,'Исходные кривые'!$B$17:$L$17,1)))))</f>
        <v>-4.697123287671233</v>
      </c>
    </row>
    <row r="7" spans="1:9">
      <c r="A7" s="13">
        <v>47299</v>
      </c>
      <c r="B7" s="14">
        <f>A7-Настройки!$B$4</f>
        <v>1096</v>
      </c>
      <c r="C7" s="15">
        <f>B7/Настройки!$B$5</f>
        <v>3.0027397260273974</v>
      </c>
      <c r="D7" s="15">
        <f>IF(C7&lt;=MIN('Исходные кривые'!$B$4:$L$4),INDEX('Исходные кривые'!$B$5:$L$5,1,1),IF(C7&gt;=MAX('Исходные кривые'!$B$4:$L$4),INDEX('Исходные кривые'!$B$5:$L$5,1,COLUMNS('Исходные кривые'!$B$5:$L$5)),INDEX('Исходные кривые'!$B$5:$L$5,1,MATCH(C7,'Исходные кривые'!$B$4:$L$4,1))+(C7-INDEX('Исходные кривые'!$B$4:$L$4,1,MATCH(C7,'Исходные кривые'!$B$4:$L$4,1)))*(INDEX('Исходные кривые'!$B$5:$L$5,1,MATCH(C7,'Исходные кривые'!$B$4:$L$4,1)+1)-INDEX('Исходные кривые'!$B$5:$L$5,1,MATCH(C7,'Исходные кривые'!$B$4:$L$4,1)))/(INDEX('Исходные кривые'!$B$4:$L$4,1,MATCH(C7,'Исходные кривые'!$B$4:$L$4,1)+1)-INDEX('Исходные кривые'!$B$4:$L$4,1,MATCH(C7,'Исходные кривые'!$B$4:$L$4,1)))))</f>
        <v>14.471301369863014</v>
      </c>
      <c r="E7" s="15">
        <f>IF(C7&lt;=MIN('Исходные кривые'!$B$8:$N$8),INDEX('Исходные кривые'!$B$9:$N$9,1,1),IF(C7&gt;=MAX('Исходные кривые'!$B$8:$N$8),INDEX('Исходные кривые'!$B$9:$N$9,1,COLUMNS('Исходные кривые'!$B$9:$N$9)),INDEX('Исходные кривые'!$B$9:$N$9,1,MATCH(C7,'Исходные кривые'!$B$8:$N$8,1))+(C7-INDEX('Исходные кривые'!$B$8:$N$8,1,MATCH(C7,'Исходные кривые'!$B$8:$N$8,1)))*(INDEX('Исходные кривые'!$B$9:$N$9,1,MATCH(C7,'Исходные кривые'!$B$8:$N$8,1)+1)-INDEX('Исходные кривые'!$B$9:$N$9,1,MATCH(C7,'Исходные кривые'!$B$8:$N$8,1)))/(INDEX('Исходные кривые'!$B$8:$N$8,1,MATCH(C7,'Исходные кривые'!$B$8:$N$8,1)+1)-INDEX('Исходные кривые'!$B$8:$N$8,1,MATCH(C7,'Исходные кривые'!$B$8:$N$8,1)))))</f>
        <v>16.471301369863014</v>
      </c>
      <c r="F7" s="15">
        <f>IF(C7&lt;=MIN('Исходные кривые'!$B$12:$K$12),INDEX('Исходные кривые'!$B$13:$K$13,1,1),IF(C7&gt;=MAX('Исходные кривые'!$B$12:$K$12),INDEX('Исходные кривые'!$B$13:$K$13,1,COLUMNS('Исходные кривые'!$B$13:$K$13)),INDEX('Исходные кривые'!$B$13:$K$13,1,MATCH(C7,'Исходные кривые'!$B$12:$K$12,1))+(C7-INDEX('Исходные кривые'!$B$12:$K$12,1,MATCH(C7,'Исходные кривые'!$B$12:$K$12,1)))*(INDEX('Исходные кривые'!$B$13:$K$13,1,MATCH(C7,'Исходные кривые'!$B$12:$K$12,1)+1)-INDEX('Исходные кривые'!$B$13:$K$13,1,MATCH(C7,'Исходные кривые'!$B$12:$K$12,1)))/(INDEX('Исходные кривые'!$B$12:$K$12,1,MATCH(C7,'Исходные кривые'!$B$12:$K$12,1)+1)-INDEX('Исходные кривые'!$B$12:$K$12,1,MATCH(C7,'Исходные кривые'!$B$12:$K$12,1)))))</f>
        <v>53.991780821917807</v>
      </c>
      <c r="G7" s="15">
        <f>IF(C7&lt;=MIN('Исходные кривые'!$B$12:$K$12),INDEX('Исходные кривые'!$B$14:$K$14,1,1),IF(C7&gt;=MAX('Исходные кривые'!$B$12:$K$12),INDEX('Исходные кривые'!$B$14:$K$14,1,COLUMNS('Исходные кривые'!$B$14:$K$14)),INDEX('Исходные кривые'!$B$14:$K$14,1,MATCH(C7,'Исходные кривые'!$B$12:$K$12,1))+(C7-INDEX('Исходные кривые'!$B$12:$K$12,1,MATCH(C7,'Исходные кривые'!$B$12:$K$12,1)))*(INDEX('Исходные кривые'!$B$14:$K$14,1,MATCH(C7,'Исходные кривые'!$B$12:$K$12,1)+1)-INDEX('Исходные кривые'!$B$14:$K$14,1,MATCH(C7,'Исходные кривые'!$B$12:$K$12,1)))/(INDEX('Исходные кривые'!$B$12:$K$12,1,MATCH(C7,'Исходные кривые'!$B$12:$K$12,1)+1)-INDEX('Исходные кривые'!$B$12:$K$12,1,MATCH(C7,'Исходные кривые'!$B$12:$K$12,1)))))</f>
        <v>-27.9986301369863</v>
      </c>
      <c r="H7" s="15">
        <f>IF(C7&lt;=MIN('Исходные кривые'!$B$17:$L$17),INDEX('Исходные кривые'!$B$18:$L$18,1,1),IF(C7&gt;=MAX('Исходные кривые'!$B$17:$L$17),INDEX('Исходные кривые'!$B$18:$L$18,1,COLUMNS('Исходные кривые'!$B$18:$L$18)),INDEX('Исходные кривые'!$B$18:$L$18,1,MATCH(C7,'Исходные кривые'!$B$17:$L$17,1))+(C7-INDEX('Исходные кривые'!$B$17:$L$17,1,MATCH(C7,'Исходные кривые'!$B$17:$L$17,1)))*(INDEX('Исходные кривые'!$B$18:$L$18,1,MATCH(C7,'Исходные кривые'!$B$17:$L$17,1)+1)-INDEX('Исходные кривые'!$B$18:$L$18,1,MATCH(C7,'Исходные кривые'!$B$17:$L$17,1)))/(INDEX('Исходные кривые'!$B$17:$L$17,1,MATCH(C7,'Исходные кривые'!$B$17:$L$17,1)+1)-INDEX('Исходные кривые'!$B$17:$L$17,1,MATCH(C7,'Исходные кривые'!$B$17:$L$17,1)))))</f>
        <v>6.3993150684931512</v>
      </c>
      <c r="I7" s="15">
        <f>IF(C7&lt;=MIN('Исходные кривые'!$B$17:$L$17),INDEX('Исходные кривые'!$B$19:$L$19,1,1),IF(C7&gt;=MAX('Исходные кривые'!$B$17:$L$17),INDEX('Исходные кривые'!$B$19:$L$19,1,COLUMNS('Исходные кривые'!$B$19:$L$19)),INDEX('Исходные кривые'!$B$19:$L$19,1,MATCH(C7,'Исходные кривые'!$B$17:$L$17,1))+(C7-INDEX('Исходные кривые'!$B$17:$L$17,1,MATCH(C7,'Исходные кривые'!$B$17:$L$17,1)))*(INDEX('Исходные кривые'!$B$19:$L$19,1,MATCH(C7,'Исходные кривые'!$B$17:$L$17,1)+1)-INDEX('Исходные кривые'!$B$19:$L$19,1,MATCH(C7,'Исходные кривые'!$B$17:$L$17,1)))/(INDEX('Исходные кривые'!$B$17:$L$17,1,MATCH(C7,'Исходные кривые'!$B$17:$L$17,1)+1)-INDEX('Исходные кривые'!$B$17:$L$17,1,MATCH(C7,'Исходные кривые'!$B$17:$L$17,1)))))</f>
        <v>-3.6478082191780818</v>
      </c>
    </row>
    <row r="8" spans="1:9">
      <c r="A8" s="13">
        <v>47664</v>
      </c>
      <c r="B8" s="14">
        <f>A8-Настройки!$B$4</f>
        <v>1461</v>
      </c>
      <c r="C8" s="15">
        <f>B8/Настройки!$B$5</f>
        <v>4.0027397260273974</v>
      </c>
      <c r="D8" s="15">
        <f>IF(C8&lt;=MIN('Исходные кривые'!$B$4:$L$4),INDEX('Исходные кривые'!$B$5:$L$5,1,1),IF(C8&gt;=MAX('Исходные кривые'!$B$4:$L$4),INDEX('Исходные кривые'!$B$5:$L$5,1,COLUMNS('Исходные кривые'!$B$5:$L$5)),INDEX('Исходные кривые'!$B$5:$L$5,1,MATCH(C8,'Исходные кривые'!$B$4:$L$4,1))+(C8-INDEX('Исходные кривые'!$B$4:$L$4,1,MATCH(C8,'Исходные кривые'!$B$4:$L$4,1)))*(INDEX('Исходные кривые'!$B$5:$L$5,1,MATCH(C8,'Исходные кривые'!$B$4:$L$4,1)+1)-INDEX('Исходные кривые'!$B$5:$L$5,1,MATCH(C8,'Исходные кривые'!$B$4:$L$4,1)))/(INDEX('Исходные кривые'!$B$4:$L$4,1,MATCH(C8,'Исходные кривые'!$B$4:$L$4,1)+1)-INDEX('Исходные кривые'!$B$4:$L$4,1,MATCH(C8,'Исходные кривые'!$B$4:$L$4,1)))))</f>
        <v>14.946301369863015</v>
      </c>
      <c r="E8" s="15">
        <f>IF(C8&lt;=MIN('Исходные кривые'!$B$8:$N$8),INDEX('Исходные кривые'!$B$9:$N$9,1,1),IF(C8&gt;=MAX('Исходные кривые'!$B$8:$N$8),INDEX('Исходные кривые'!$B$9:$N$9,1,COLUMNS('Исходные кривые'!$B$9:$N$9)),INDEX('Исходные кривые'!$B$9:$N$9,1,MATCH(C8,'Исходные кривые'!$B$8:$N$8,1))+(C8-INDEX('Исходные кривые'!$B$8:$N$8,1,MATCH(C8,'Исходные кривые'!$B$8:$N$8,1)))*(INDEX('Исходные кривые'!$B$9:$N$9,1,MATCH(C8,'Исходные кривые'!$B$8:$N$8,1)+1)-INDEX('Исходные кривые'!$B$9:$N$9,1,MATCH(C8,'Исходные кривые'!$B$8:$N$8,1)))/(INDEX('Исходные кривые'!$B$8:$N$8,1,MATCH(C8,'Исходные кривые'!$B$8:$N$8,1)+1)-INDEX('Исходные кривые'!$B$8:$N$8,1,MATCH(C8,'Исходные кривые'!$B$8:$N$8,1)))))</f>
        <v>16.946301369863015</v>
      </c>
      <c r="F8" s="15">
        <f>IF(C8&lt;=MIN('Исходные кривые'!$B$12:$K$12),INDEX('Исходные кривые'!$B$13:$K$13,1,1),IF(C8&gt;=MAX('Исходные кривые'!$B$12:$K$12),INDEX('Исходные кривые'!$B$13:$K$13,1,COLUMNS('Исходные кривые'!$B$13:$K$13)),INDEX('Исходные кривые'!$B$13:$K$13,1,MATCH(C8,'Исходные кривые'!$B$12:$K$12,1))+(C8-INDEX('Исходные кривые'!$B$12:$K$12,1,MATCH(C8,'Исходные кривые'!$B$12:$K$12,1)))*(INDEX('Исходные кривые'!$B$13:$K$13,1,MATCH(C8,'Исходные кривые'!$B$12:$K$12,1)+1)-INDEX('Исходные кривые'!$B$13:$K$13,1,MATCH(C8,'Исходные кривые'!$B$12:$K$12,1)))/(INDEX('Исходные кривые'!$B$12:$K$12,1,MATCH(C8,'Исходные кривые'!$B$12:$K$12,1)+1)-INDEX('Исходные кривые'!$B$12:$K$12,1,MATCH(C8,'Исходные кривые'!$B$12:$K$12,1)))))</f>
        <v>50.991780821917807</v>
      </c>
      <c r="G8" s="15">
        <f>IF(C8&lt;=MIN('Исходные кривые'!$B$12:$K$12),INDEX('Исходные кривые'!$B$14:$K$14,1,1),IF(C8&gt;=MAX('Исходные кривые'!$B$12:$K$12),INDEX('Исходные кривые'!$B$14:$K$14,1,COLUMNS('Исходные кривые'!$B$14:$K$14)),INDEX('Исходные кривые'!$B$14:$K$14,1,MATCH(C8,'Исходные кривые'!$B$12:$K$12,1))+(C8-INDEX('Исходные кривые'!$B$12:$K$12,1,MATCH(C8,'Исходные кривые'!$B$12:$K$12,1)))*(INDEX('Исходные кривые'!$B$14:$K$14,1,MATCH(C8,'Исходные кривые'!$B$12:$K$12,1)+1)-INDEX('Исходные кривые'!$B$14:$K$14,1,MATCH(C8,'Исходные кривые'!$B$12:$K$12,1)))/(INDEX('Исходные кривые'!$B$12:$K$12,1,MATCH(C8,'Исходные кривые'!$B$12:$K$12,1)+1)-INDEX('Исходные кривые'!$B$12:$K$12,1,MATCH(C8,'Исходные кривые'!$B$12:$K$12,1)))))</f>
        <v>-27.4986301369863</v>
      </c>
      <c r="H8" s="15">
        <f>IF(C8&lt;=MIN('Исходные кривые'!$B$17:$L$17),INDEX('Исходные кривые'!$B$18:$L$18,1,1),IF(C8&gt;=MAX('Исходные кривые'!$B$17:$L$17),INDEX('Исходные кривые'!$B$18:$L$18,1,COLUMNS('Исходные кривые'!$B$18:$L$18)),INDEX('Исходные кривые'!$B$18:$L$18,1,MATCH(C8,'Исходные кривые'!$B$17:$L$17,1))+(C8-INDEX('Исходные кривые'!$B$17:$L$17,1,MATCH(C8,'Исходные кривые'!$B$17:$L$17,1)))*(INDEX('Исходные кривые'!$B$18:$L$18,1,MATCH(C8,'Исходные кривые'!$B$17:$L$17,1)+1)-INDEX('Исходные кривые'!$B$18:$L$18,1,MATCH(C8,'Исходные кривые'!$B$17:$L$17,1)))/(INDEX('Исходные кривые'!$B$17:$L$17,1,MATCH(C8,'Исходные кривые'!$B$17:$L$17,1)+1)-INDEX('Исходные кривые'!$B$17:$L$17,1,MATCH(C8,'Исходные кривые'!$B$17:$L$17,1)))))</f>
        <v>6.1479452054794521</v>
      </c>
      <c r="I8" s="15">
        <f>IF(C8&lt;=MIN('Исходные кривые'!$B$17:$L$17),INDEX('Исходные кривые'!$B$19:$L$19,1,1),IF(C8&gt;=MAX('Исходные кривые'!$B$17:$L$17),INDEX('Исходные кривые'!$B$19:$L$19,1,COLUMNS('Исходные кривые'!$B$19:$L$19)),INDEX('Исходные кривые'!$B$19:$L$19,1,MATCH(C8,'Исходные кривые'!$B$17:$L$17,1))+(C8-INDEX('Исходные кривые'!$B$17:$L$17,1,MATCH(C8,'Исходные кривые'!$B$17:$L$17,1)))*(INDEX('Исходные кривые'!$B$19:$L$19,1,MATCH(C8,'Исходные кривые'!$B$17:$L$17,1)+1)-INDEX('Исходные кривые'!$B$19:$L$19,1,MATCH(C8,'Исходные кривые'!$B$17:$L$17,1)))/(INDEX('Исходные кривые'!$B$17:$L$17,1,MATCH(C8,'Исходные кривые'!$B$17:$L$17,1)+1)-INDEX('Исходные кривые'!$B$17:$L$17,1,MATCH(C8,'Исходные кривые'!$B$17:$L$17,1)))))</f>
        <v>-2.8473972602739726</v>
      </c>
    </row>
    <row r="9" spans="1:9" ht="14.4" thickBot="1">
      <c r="A9" s="13">
        <v>48029</v>
      </c>
      <c r="B9" s="14">
        <f>A9-Настройки!$B$4</f>
        <v>1826</v>
      </c>
      <c r="C9" s="15">
        <f>B9/Настройки!$B$5</f>
        <v>5.0027397260273974</v>
      </c>
      <c r="D9" s="15">
        <f>IF(C9&lt;=MIN('Исходные кривые'!$B$4:$L$4),INDEX('Исходные кривые'!$B$5:$L$5,1,1),IF(C9&gt;=MAX('Исходные кривые'!$B$4:$L$4),INDEX('Исходные кривые'!$B$5:$L$5,1,COLUMNS('Исходные кривые'!$B$5:$L$5)),INDEX('Исходные кривые'!$B$5:$L$5,1,MATCH(C9,'Исходные кривые'!$B$4:$L$4,1))+(C9-INDEX('Исходные кривые'!$B$4:$L$4,1,MATCH(C9,'Исходные кривые'!$B$4:$L$4,1)))*(INDEX('Исходные кривые'!$B$5:$L$5,1,MATCH(C9,'Исходные кривые'!$B$4:$L$4,1)+1)-INDEX('Исходные кривые'!$B$5:$L$5,1,MATCH(C9,'Исходные кривые'!$B$4:$L$4,1)))/(INDEX('Исходные кривые'!$B$4:$L$4,1,MATCH(C9,'Исходные кривые'!$B$4:$L$4,1)+1)-INDEX('Исходные кривые'!$B$4:$L$4,1,MATCH(C9,'Исходные кривые'!$B$4:$L$4,1)))))</f>
        <v>15.420767123287671</v>
      </c>
      <c r="E9" s="15">
        <f>IF(C9&lt;=MIN('Исходные кривые'!$B$8:$N$8),INDEX('Исходные кривые'!$B$9:$N$9,1,1),IF(C9&gt;=MAX('Исходные кривые'!$B$8:$N$8),INDEX('Исходные кривые'!$B$9:$N$9,1,COLUMNS('Исходные кривые'!$B$9:$N$9)),INDEX('Исходные кривые'!$B$9:$N$9,1,MATCH(C9,'Исходные кривые'!$B$8:$N$8,1))+(C9-INDEX('Исходные кривые'!$B$8:$N$8,1,MATCH(C9,'Исходные кривые'!$B$8:$N$8,1)))*(INDEX('Исходные кривые'!$B$9:$N$9,1,MATCH(C9,'Исходные кривые'!$B$8:$N$8,1)+1)-INDEX('Исходные кривые'!$B$9:$N$9,1,MATCH(C9,'Исходные кривые'!$B$8:$N$8,1)))/(INDEX('Исходные кривые'!$B$8:$N$8,1,MATCH(C9,'Исходные кривые'!$B$8:$N$8,1)+1)-INDEX('Исходные кривые'!$B$8:$N$8,1,MATCH(C9,'Исходные кривые'!$B$8:$N$8,1)))))</f>
        <v>17.420767123287671</v>
      </c>
      <c r="F9" s="15">
        <f>IF(C9&lt;=MIN('Исходные кривые'!$B$12:$K$12),INDEX('Исходные кривые'!$B$13:$K$13,1,1),IF(C9&gt;=MAX('Исходные кривые'!$B$12:$K$12),INDEX('Исходные кривые'!$B$13:$K$13,1,COLUMNS('Исходные кривые'!$B$13:$K$13)),INDEX('Исходные кривые'!$B$13:$K$13,1,MATCH(C9,'Исходные кривые'!$B$12:$K$12,1))+(C9-INDEX('Исходные кривые'!$B$12:$K$12,1,MATCH(C9,'Исходные кривые'!$B$12:$K$12,1)))*(INDEX('Исходные кривые'!$B$13:$K$13,1,MATCH(C9,'Исходные кривые'!$B$12:$K$12,1)+1)-INDEX('Исходные кривые'!$B$13:$K$13,1,MATCH(C9,'Исходные кривые'!$B$12:$K$12,1)))/(INDEX('Исходные кривые'!$B$12:$K$12,1,MATCH(C9,'Исходные кривые'!$B$12:$K$12,1)+1)-INDEX('Исходные кривые'!$B$12:$K$12,1,MATCH(C9,'Исходные кривые'!$B$12:$K$12,1)))))</f>
        <v>47.991780821917807</v>
      </c>
      <c r="G9" s="15">
        <f>IF(C9&lt;=MIN('Исходные кривые'!$B$12:$K$12),INDEX('Исходные кривые'!$B$14:$K$14,1,1),IF(C9&gt;=MAX('Исходные кривые'!$B$12:$K$12),INDEX('Исходные кривые'!$B$14:$K$14,1,COLUMNS('Исходные кривые'!$B$14:$K$14)),INDEX('Исходные кривые'!$B$14:$K$14,1,MATCH(C9,'Исходные кривые'!$B$12:$K$12,1))+(C9-INDEX('Исходные кривые'!$B$12:$K$12,1,MATCH(C9,'Исходные кривые'!$B$12:$K$12,1)))*(INDEX('Исходные кривые'!$B$14:$K$14,1,MATCH(C9,'Исходные кривые'!$B$12:$K$12,1)+1)-INDEX('Исходные кривые'!$B$14:$K$14,1,MATCH(C9,'Исходные кривые'!$B$12:$K$12,1)))/(INDEX('Исходные кривые'!$B$12:$K$12,1,MATCH(C9,'Исходные кривые'!$B$12:$K$12,1)+1)-INDEX('Исходные кривые'!$B$12:$K$12,1,MATCH(C9,'Исходные кривые'!$B$12:$K$12,1)))))</f>
        <v>-26.9986301369863</v>
      </c>
      <c r="H9" s="15">
        <f>IF(C9&lt;=MIN('Исходные кривые'!$B$17:$L$17),INDEX('Исходные кривые'!$B$18:$L$18,1,1),IF(C9&gt;=MAX('Исходные кривые'!$B$17:$L$17),INDEX('Исходные кривые'!$B$18:$L$18,1,COLUMNS('Исходные кривые'!$B$18:$L$18)),INDEX('Исходные кривые'!$B$18:$L$18,1,MATCH(C9,'Исходные кривые'!$B$17:$L$17,1))+(C9-INDEX('Исходные кривые'!$B$17:$L$17,1,MATCH(C9,'Исходные кривые'!$B$17:$L$17,1)))*(INDEX('Исходные кривые'!$B$18:$L$18,1,MATCH(C9,'Исходные кривые'!$B$17:$L$17,1)+1)-INDEX('Исходные кривые'!$B$18:$L$18,1,MATCH(C9,'Исходные кривые'!$B$17:$L$17,1)))/(INDEX('Исходные кривые'!$B$17:$L$17,1,MATCH(C9,'Исходные кривые'!$B$17:$L$17,1)+1)-INDEX('Исходные кривые'!$B$17:$L$17,1,MATCH(C9,'Исходные кривые'!$B$17:$L$17,1)))))</f>
        <v>5.4</v>
      </c>
      <c r="I9" s="15">
        <f>IF(C9&lt;=MIN('Исходные кривые'!$B$17:$L$17),INDEX('Исходные кривые'!$B$19:$L$19,1,1),IF(C9&gt;=MAX('Исходные кривые'!$B$17:$L$17),INDEX('Исходные кривые'!$B$19:$L$19,1,COLUMNS('Исходные кривые'!$B$19:$L$19)),INDEX('Исходные кривые'!$B$19:$L$19,1,MATCH(C9,'Исходные кривые'!$B$17:$L$17,1))+(C9-INDEX('Исходные кривые'!$B$17:$L$17,1,MATCH(C9,'Исходные кривые'!$B$17:$L$17,1)))*(INDEX('Исходные кривые'!$B$19:$L$19,1,MATCH(C9,'Исходные кривые'!$B$17:$L$17,1)+1)-INDEX('Исходные кривые'!$B$19:$L$19,1,MATCH(C9,'Исходные кривые'!$B$17:$L$17,1)))/(INDEX('Исходные кривые'!$B$17:$L$17,1,MATCH(C9,'Исходные кривые'!$B$17:$L$17,1)+1)-INDEX('Исходные кривые'!$B$17:$L$17,1,MATCH(C9,'Исходные кривые'!$B$17:$L$17,1)))))</f>
        <v>-1.9</v>
      </c>
    </row>
    <row r="10" spans="1:9">
      <c r="A10" s="16">
        <v>46414</v>
      </c>
      <c r="B10" s="17">
        <f>A10-Настройки!$B$4</f>
        <v>211</v>
      </c>
      <c r="C10" s="18">
        <f>B10/Настройки!$B$5</f>
        <v>0.57808219178082187</v>
      </c>
      <c r="D10" s="18">
        <f>IF(C10&lt;=MIN('Исходные кривые'!$B$4:$L$4),INDEX('Исходные кривые'!$B$5:$L$5,1,1),IF(C10&gt;=MAX('Исходные кривые'!$B$4:$L$4),INDEX('Исходные кривые'!$B$5:$L$5,1,COLUMNS('Исходные кривые'!$B$5:$L$5)),INDEX('Исходные кривые'!$B$5:$L$5,1,MATCH(C10,'Исходные кривые'!$B$4:$L$4,1))+(C10-INDEX('Исходные кривые'!$B$4:$L$4,1,MATCH(C10,'Исходные кривые'!$B$4:$L$4,1)))*(INDEX('Исходные кривые'!$B$5:$L$5,1,MATCH(C10,'Исходные кривые'!$B$4:$L$4,1)+1)-INDEX('Исходные кривые'!$B$5:$L$5,1,MATCH(C10,'Исходные кривые'!$B$4:$L$4,1)))/(INDEX('Исходные кривые'!$B$4:$L$4,1,MATCH(C10,'Исходные кривые'!$B$4:$L$4,1)+1)-INDEX('Исходные кривые'!$B$4:$L$4,1,MATCH(C10,'Исходные кривые'!$B$4:$L$4,1)))))</f>
        <v>13.424383561643836</v>
      </c>
      <c r="E10" s="18">
        <f>IF(C10&lt;=MIN('Исходные кривые'!$B$8:$N$8),INDEX('Исходные кривые'!$B$9:$N$9,1,1),IF(C10&gt;=MAX('Исходные кривые'!$B$8:$N$8),INDEX('Исходные кривые'!$B$9:$N$9,1,COLUMNS('Исходные кривые'!$B$9:$N$9)),INDEX('Исходные кривые'!$B$9:$N$9,1,MATCH(C10,'Исходные кривые'!$B$8:$N$8,1))+(C10-INDEX('Исходные кривые'!$B$8:$N$8,1,MATCH(C10,'Исходные кривые'!$B$8:$N$8,1)))*(INDEX('Исходные кривые'!$B$9:$N$9,1,MATCH(C10,'Исходные кривые'!$B$8:$N$8,1)+1)-INDEX('Исходные кривые'!$B$9:$N$9,1,MATCH(C10,'Исходные кривые'!$B$8:$N$8,1)))/(INDEX('Исходные кривые'!$B$8:$N$8,1,MATCH(C10,'Исходные кривые'!$B$8:$N$8,1)+1)-INDEX('Исходные кривые'!$B$8:$N$8,1,MATCH(C10,'Исходные кривые'!$B$8:$N$8,1)))))</f>
        <v>15.424383561643836</v>
      </c>
      <c r="F10" s="18">
        <f>IF(C10&lt;=MIN('Исходные кривые'!$B$12:$K$12),INDEX('Исходные кривые'!$B$13:$K$13,1,1),IF(C10&gt;=MAX('Исходные кривые'!$B$12:$K$12),INDEX('Исходные кривые'!$B$13:$K$13,1,COLUMNS('Исходные кривые'!$B$13:$K$13)),INDEX('Исходные кривые'!$B$13:$K$13,1,MATCH(C10,'Исходные кривые'!$B$12:$K$12,1))+(C10-INDEX('Исходные кривые'!$B$12:$K$12,1,MATCH(C10,'Исходные кривые'!$B$12:$K$12,1)))*(INDEX('Исходные кривые'!$B$13:$K$13,1,MATCH(C10,'Исходные кривые'!$B$12:$K$12,1)+1)-INDEX('Исходные кривые'!$B$13:$K$13,1,MATCH(C10,'Исходные кривые'!$B$12:$K$12,1)))/(INDEX('Исходные кривые'!$B$12:$K$12,1,MATCH(C10,'Исходные кривые'!$B$12:$K$12,1)+1)-INDEX('Исходные кривые'!$B$12:$K$12,1,MATCH(C10,'Исходные кривые'!$B$12:$K$12,1)))))</f>
        <v>58.843835616438355</v>
      </c>
      <c r="G10" s="18">
        <f>IF(C10&lt;=MIN('Исходные кривые'!$B$12:$K$12),INDEX('Исходные кривые'!$B$14:$K$14,1,1),IF(C10&gt;=MAX('Исходные кривые'!$B$12:$K$12),INDEX('Исходные кривые'!$B$14:$K$14,1,COLUMNS('Исходные кривые'!$B$14:$K$14)),INDEX('Исходные кривые'!$B$14:$K$14,1,MATCH(C10,'Исходные кривые'!$B$12:$K$12,1))+(C10-INDEX('Исходные кривые'!$B$12:$K$12,1,MATCH(C10,'Исходные кривые'!$B$12:$K$12,1)))*(INDEX('Исходные кривые'!$B$14:$K$14,1,MATCH(C10,'Исходные кривые'!$B$12:$K$12,1)+1)-INDEX('Исходные кривые'!$B$14:$K$14,1,MATCH(C10,'Исходные кривые'!$B$12:$K$12,1)))/(INDEX('Исходные кривые'!$B$12:$K$12,1,MATCH(C10,'Исходные кривые'!$B$12:$K$12,1)+1)-INDEX('Исходные кривые'!$B$12:$K$12,1,MATCH(C10,'Исходные кривые'!$B$12:$K$12,1)))))</f>
        <v>-34.375342465753427</v>
      </c>
      <c r="H10" s="18">
        <f>IF(C10&lt;=MIN('Исходные кривые'!$B$17:$L$17),INDEX('Исходные кривые'!$B$18:$L$18,1,1),IF(C10&gt;=MAX('Исходные кривые'!$B$17:$L$17),INDEX('Исходные кривые'!$B$18:$L$18,1,COLUMNS('Исходные кривые'!$B$18:$L$18)),INDEX('Исходные кривые'!$B$18:$L$18,1,MATCH(C10,'Исходные кривые'!$B$17:$L$17,1))+(C10-INDEX('Исходные кривые'!$B$17:$L$17,1,MATCH(C10,'Исходные кривые'!$B$17:$L$17,1)))*(INDEX('Исходные кривые'!$B$18:$L$18,1,MATCH(C10,'Исходные кривые'!$B$17:$L$17,1)+1)-INDEX('Исходные кривые'!$B$18:$L$18,1,MATCH(C10,'Исходные кривые'!$B$17:$L$17,1)))/(INDEX('Исходные кривые'!$B$17:$L$17,1,MATCH(C10,'Исходные кривые'!$B$17:$L$17,1)+1)-INDEX('Исходные кривые'!$B$17:$L$17,1,MATCH(C10,'Исходные кривые'!$B$17:$L$17,1)))))</f>
        <v>4.9249315068493154</v>
      </c>
      <c r="I10" s="18">
        <f>IF(C10&lt;=MIN('Исходные кривые'!$B$17:$L$17),INDEX('Исходные кривые'!$B$19:$L$19,1,1),IF(C10&gt;=MAX('Исходные кривые'!$B$17:$L$17),INDEX('Исходные кривые'!$B$19:$L$19,1,COLUMNS('Исходные кривые'!$B$19:$L$19)),INDEX('Исходные кривые'!$B$19:$L$19,1,MATCH(C10,'Исходные кривые'!$B$17:$L$17,1))+(C10-INDEX('Исходные кривые'!$B$17:$L$17,1,MATCH(C10,'Исходные кривые'!$B$17:$L$17,1)))*(INDEX('Исходные кривые'!$B$19:$L$19,1,MATCH(C10,'Исходные кривые'!$B$17:$L$17,1)+1)-INDEX('Исходные кривые'!$B$19:$L$19,1,MATCH(C10,'Исходные кривые'!$B$17:$L$17,1)))/(INDEX('Исходные кривые'!$B$17:$L$17,1,MATCH(C10,'Исходные кривые'!$B$17:$L$17,1)+1)-INDEX('Исходные кривые'!$B$17:$L$17,1,MATCH(C10,'Исходные кривые'!$B$17:$L$17,1)))))</f>
        <v>-3.6467123287671233</v>
      </c>
    </row>
    <row r="11" spans="1:9">
      <c r="A11" s="9">
        <v>46596</v>
      </c>
      <c r="B11" s="11">
        <f>A11-Настройки!$B$4</f>
        <v>393</v>
      </c>
      <c r="C11" s="12">
        <f>B11/Настройки!$B$5</f>
        <v>1.0767123287671232</v>
      </c>
      <c r="D11" s="12">
        <f>IF(C11&lt;=MIN('Исходные кривые'!$B$4:$L$4),INDEX('Исходные кривые'!$B$5:$L$5,1,1),IF(C11&gt;=MAX('Исходные кривые'!$B$4:$L$4),INDEX('Исходные кривые'!$B$5:$L$5,1,COLUMNS('Исходные кривые'!$B$5:$L$5)),INDEX('Исходные кривые'!$B$5:$L$5,1,MATCH(C11,'Исходные кривые'!$B$4:$L$4,1))+(C11-INDEX('Исходные кривые'!$B$4:$L$4,1,MATCH(C11,'Исходные кривые'!$B$4:$L$4,1)))*(INDEX('Исходные кривые'!$B$5:$L$5,1,MATCH(C11,'Исходные кривые'!$B$4:$L$4,1)+1)-INDEX('Исходные кривые'!$B$5:$L$5,1,MATCH(C11,'Исходные кривые'!$B$4:$L$4,1)))/(INDEX('Исходные кривые'!$B$4:$L$4,1,MATCH(C11,'Исходные кривые'!$B$4:$L$4,1)+1)-INDEX('Исходные кривые'!$B$4:$L$4,1,MATCH(C11,'Исходные кривые'!$B$4:$L$4,1)))))</f>
        <v>13.445287671232876</v>
      </c>
      <c r="E11" s="12">
        <f>IF(C11&lt;=MIN('Исходные кривые'!$B$8:$N$8),INDEX('Исходные кривые'!$B$9:$N$9,1,1),IF(C11&gt;=MAX('Исходные кривые'!$B$8:$N$8),INDEX('Исходные кривые'!$B$9:$N$9,1,COLUMNS('Исходные кривые'!$B$9:$N$9)),INDEX('Исходные кривые'!$B$9:$N$9,1,MATCH(C11,'Исходные кривые'!$B$8:$N$8,1))+(C11-INDEX('Исходные кривые'!$B$8:$N$8,1,MATCH(C11,'Исходные кривые'!$B$8:$N$8,1)))*(INDEX('Исходные кривые'!$B$9:$N$9,1,MATCH(C11,'Исходные кривые'!$B$8:$N$8,1)+1)-INDEX('Исходные кривые'!$B$9:$N$9,1,MATCH(C11,'Исходные кривые'!$B$8:$N$8,1)))/(INDEX('Исходные кривые'!$B$8:$N$8,1,MATCH(C11,'Исходные кривые'!$B$8:$N$8,1)+1)-INDEX('Исходные кривые'!$B$8:$N$8,1,MATCH(C11,'Исходные кривые'!$B$8:$N$8,1)))))</f>
        <v>15.445287671232876</v>
      </c>
      <c r="F11" s="12">
        <f>IF(C11&lt;=MIN('Исходные кривые'!$B$12:$K$12),INDEX('Исходные кривые'!$B$13:$K$13,1,1),IF(C11&gt;=MAX('Исходные кривые'!$B$12:$K$12),INDEX('Исходные кривые'!$B$13:$K$13,1,COLUMNS('Исходные кривые'!$B$13:$K$13)),INDEX('Исходные кривые'!$B$13:$K$13,1,MATCH(C11,'Исходные кривые'!$B$12:$K$12,1))+(C11-INDEX('Исходные кривые'!$B$12:$K$12,1,MATCH(C11,'Исходные кривые'!$B$12:$K$12,1)))*(INDEX('Исходные кривые'!$B$13:$K$13,1,MATCH(C11,'Исходные кривые'!$B$12:$K$12,1)+1)-INDEX('Исходные кривые'!$B$13:$K$13,1,MATCH(C11,'Исходные кривые'!$B$12:$K$12,1)))/(INDEX('Исходные кривые'!$B$12:$K$12,1,MATCH(C11,'Исходные кривые'!$B$12:$K$12,1)+1)-INDEX('Исходные кривые'!$B$12:$K$12,1,MATCH(C11,'Исходные кривые'!$B$12:$K$12,1)))))</f>
        <v>57.769863013698632</v>
      </c>
      <c r="G11" s="12">
        <f>IF(C11&lt;=MIN('Исходные кривые'!$B$12:$K$12),INDEX('Исходные кривые'!$B$14:$K$14,1,1),IF(C11&gt;=MAX('Исходные кривые'!$B$12:$K$12),INDEX('Исходные кривые'!$B$14:$K$14,1,COLUMNS('Исходные кривые'!$B$14:$K$14)),INDEX('Исходные кривые'!$B$14:$K$14,1,MATCH(C11,'Исходные кривые'!$B$12:$K$12,1))+(C11-INDEX('Исходные кривые'!$B$12:$K$12,1,MATCH(C11,'Исходные кривые'!$B$12:$K$12,1)))*(INDEX('Исходные кривые'!$B$14:$K$14,1,MATCH(C11,'Исходные кривые'!$B$12:$K$12,1)+1)-INDEX('Исходные кривые'!$B$14:$K$14,1,MATCH(C11,'Исходные кривые'!$B$12:$K$12,1)))/(INDEX('Исходные кривые'!$B$12:$K$12,1,MATCH(C11,'Исходные кривые'!$B$12:$K$12,1)+1)-INDEX('Исходные кривые'!$B$12:$K$12,1,MATCH(C11,'Исходные кривые'!$B$12:$K$12,1)))))</f>
        <v>-30.846575342465755</v>
      </c>
      <c r="H11" s="12">
        <f>IF(C11&lt;=MIN('Исходные кривые'!$B$17:$L$17),INDEX('Исходные кривые'!$B$18:$L$18,1,1),IF(C11&gt;=MAX('Исходные кривые'!$B$17:$L$17),INDEX('Исходные кривые'!$B$18:$L$18,1,COLUMNS('Исходные кривые'!$B$18:$L$18)),INDEX('Исходные кривые'!$B$18:$L$18,1,MATCH(C11,'Исходные кривые'!$B$17:$L$17,1))+(C11-INDEX('Исходные кривые'!$B$17:$L$17,1,MATCH(C11,'Исходные кривые'!$B$17:$L$17,1)))*(INDEX('Исходные кривые'!$B$18:$L$18,1,MATCH(C11,'Исходные кривые'!$B$17:$L$17,1)+1)-INDEX('Исходные кривые'!$B$18:$L$18,1,MATCH(C11,'Исходные кривые'!$B$17:$L$17,1)))/(INDEX('Исходные кривые'!$B$17:$L$17,1,MATCH(C11,'Исходные кривые'!$B$17:$L$17,1)+1)-INDEX('Исходные кривые'!$B$17:$L$17,1,MATCH(C11,'Исходные кривые'!$B$17:$L$17,1)))))</f>
        <v>6.095890410958904</v>
      </c>
      <c r="I11" s="12">
        <f>IF(C11&lt;=MIN('Исходные кривые'!$B$17:$L$17),INDEX('Исходные кривые'!$B$19:$L$19,1,1),IF(C11&gt;=MAX('Исходные кривые'!$B$17:$L$17),INDEX('Исходные кривые'!$B$19:$L$19,1,COLUMNS('Исходные кривые'!$B$19:$L$19)),INDEX('Исходные кривые'!$B$19:$L$19,1,MATCH(C11,'Исходные кривые'!$B$17:$L$17,1))+(C11-INDEX('Исходные кривые'!$B$17:$L$17,1,MATCH(C11,'Исходные кривые'!$B$17:$L$17,1)))*(INDEX('Исходные кривые'!$B$19:$L$19,1,MATCH(C11,'Исходные кривые'!$B$17:$L$17,1)+1)-INDEX('Исходные кривые'!$B$19:$L$19,1,MATCH(C11,'Исходные кривые'!$B$17:$L$17,1)))/(INDEX('Исходные кривые'!$B$17:$L$17,1,MATCH(C11,'Исходные кривые'!$B$17:$L$17,1)+1)-INDEX('Исходные кривые'!$B$17:$L$17,1,MATCH(C11,'Исходные кривые'!$B$17:$L$17,1)))))</f>
        <v>-4.9769863013698634</v>
      </c>
    </row>
    <row r="12" spans="1:9">
      <c r="A12" s="9">
        <v>46778</v>
      </c>
      <c r="B12" s="11">
        <f>A12-Настройки!$B$4</f>
        <v>575</v>
      </c>
      <c r="C12" s="12">
        <f>B12/Настройки!$B$5</f>
        <v>1.5753424657534247</v>
      </c>
      <c r="D12" s="12">
        <f>IF(C12&lt;=MIN('Исходные кривые'!$B$4:$L$4),INDEX('Исходные кривые'!$B$5:$L$5,1,1),IF(C12&gt;=MAX('Исходные кривые'!$B$4:$L$4),INDEX('Исходные кривые'!$B$5:$L$5,1,COLUMNS('Исходные кривые'!$B$5:$L$5)),INDEX('Исходные кривые'!$B$5:$L$5,1,MATCH(C12,'Исходные кривые'!$B$4:$L$4,1))+(C12-INDEX('Исходные кривые'!$B$4:$L$4,1,MATCH(C12,'Исходные кривые'!$B$4:$L$4,1)))*(INDEX('Исходные кривые'!$B$5:$L$5,1,MATCH(C12,'Исходные кривые'!$B$4:$L$4,1)+1)-INDEX('Исходные кривые'!$B$5:$L$5,1,MATCH(C12,'Исходные кривые'!$B$4:$L$4,1)))/(INDEX('Исходные кривые'!$B$4:$L$4,1,MATCH(C12,'Исходные кривые'!$B$4:$L$4,1)+1)-INDEX('Исходные кривые'!$B$4:$L$4,1,MATCH(C12,'Исходные кривые'!$B$4:$L$4,1)))))</f>
        <v>13.674657534246576</v>
      </c>
      <c r="E12" s="12">
        <f>IF(C12&lt;=MIN('Исходные кривые'!$B$8:$N$8),INDEX('Исходные кривые'!$B$9:$N$9,1,1),IF(C12&gt;=MAX('Исходные кривые'!$B$8:$N$8),INDEX('Исходные кривые'!$B$9:$N$9,1,COLUMNS('Исходные кривые'!$B$9:$N$9)),INDEX('Исходные кривые'!$B$9:$N$9,1,MATCH(C12,'Исходные кривые'!$B$8:$N$8,1))+(C12-INDEX('Исходные кривые'!$B$8:$N$8,1,MATCH(C12,'Исходные кривые'!$B$8:$N$8,1)))*(INDEX('Исходные кривые'!$B$9:$N$9,1,MATCH(C12,'Исходные кривые'!$B$8:$N$8,1)+1)-INDEX('Исходные кривые'!$B$9:$N$9,1,MATCH(C12,'Исходные кривые'!$B$8:$N$8,1)))/(INDEX('Исходные кривые'!$B$8:$N$8,1,MATCH(C12,'Исходные кривые'!$B$8:$N$8,1)+1)-INDEX('Исходные кривые'!$B$8:$N$8,1,MATCH(C12,'Исходные кривые'!$B$8:$N$8,1)))))</f>
        <v>15.674657534246576</v>
      </c>
      <c r="F12" s="12">
        <f>IF(C12&lt;=MIN('Исходные кривые'!$B$12:$K$12),INDEX('Исходные кривые'!$B$13:$K$13,1,1),IF(C12&gt;=MAX('Исходные кривые'!$B$12:$K$12),INDEX('Исходные кривые'!$B$13:$K$13,1,COLUMNS('Исходные кривые'!$B$13:$K$13)),INDEX('Исходные кривые'!$B$13:$K$13,1,MATCH(C12,'Исходные кривые'!$B$12:$K$12,1))+(C12-INDEX('Исходные кривые'!$B$12:$K$12,1,MATCH(C12,'Исходные кривые'!$B$12:$K$12,1)))*(INDEX('Исходные кривые'!$B$13:$K$13,1,MATCH(C12,'Исходные кривые'!$B$12:$K$12,1)+1)-INDEX('Исходные кривые'!$B$13:$K$13,1,MATCH(C12,'Исходные кривые'!$B$12:$K$12,1)))/(INDEX('Исходные кривые'!$B$12:$K$12,1,MATCH(C12,'Исходные кривые'!$B$12:$K$12,1)+1)-INDEX('Исходные кривые'!$B$12:$K$12,1,MATCH(C12,'Исходные кривые'!$B$12:$K$12,1)))))</f>
        <v>56.273972602739725</v>
      </c>
      <c r="G12" s="12">
        <f>IF(C12&lt;=MIN('Исходные кривые'!$B$12:$K$12),INDEX('Исходные кривые'!$B$14:$K$14,1,1),IF(C12&gt;=MAX('Исходные кривые'!$B$12:$K$12),INDEX('Исходные кривые'!$B$14:$K$14,1,COLUMNS('Исходные кривые'!$B$14:$K$14)),INDEX('Исходные кривые'!$B$14:$K$14,1,MATCH(C12,'Исходные кривые'!$B$12:$K$12,1))+(C12-INDEX('Исходные кривые'!$B$12:$K$12,1,MATCH(C12,'Исходные кривые'!$B$12:$K$12,1)))*(INDEX('Исходные кривые'!$B$14:$K$14,1,MATCH(C12,'Исходные кривые'!$B$12:$K$12,1)+1)-INDEX('Исходные кривые'!$B$14:$K$14,1,MATCH(C12,'Исходные кривые'!$B$12:$K$12,1)))/(INDEX('Исходные кривые'!$B$12:$K$12,1,MATCH(C12,'Исходные кривые'!$B$12:$K$12,1)+1)-INDEX('Исходные кривые'!$B$12:$K$12,1,MATCH(C12,'Исходные кривые'!$B$12:$K$12,1)))))</f>
        <v>-29.849315068493151</v>
      </c>
      <c r="H12" s="12">
        <f>IF(C12&lt;=MIN('Исходные кривые'!$B$17:$L$17),INDEX('Исходные кривые'!$B$18:$L$18,1,1),IF(C12&gt;=MAX('Исходные кривые'!$B$17:$L$17),INDEX('Исходные кривые'!$B$18:$L$18,1,COLUMNS('Исходные кривые'!$B$18:$L$18)),INDEX('Исходные кривые'!$B$18:$L$18,1,MATCH(C12,'Исходные кривые'!$B$17:$L$17,1))+(C12-INDEX('Исходные кривые'!$B$17:$L$17,1,MATCH(C12,'Исходные кривые'!$B$17:$L$17,1)))*(INDEX('Исходные кривые'!$B$18:$L$18,1,MATCH(C12,'Исходные кривые'!$B$17:$L$17,1)+1)-INDEX('Исходные кривые'!$B$18:$L$18,1,MATCH(C12,'Исходные кривые'!$B$17:$L$17,1)))/(INDEX('Исходные кривые'!$B$17:$L$17,1,MATCH(C12,'Исходные кривые'!$B$17:$L$17,1)+1)-INDEX('Исходные кривые'!$B$17:$L$17,1,MATCH(C12,'Исходные кривые'!$B$17:$L$17,1)))))</f>
        <v>6.7191780821917808</v>
      </c>
      <c r="I12" s="12">
        <f>IF(C12&lt;=MIN('Исходные кривые'!$B$17:$L$17),INDEX('Исходные кривые'!$B$19:$L$19,1,1),IF(C12&gt;=MAX('Исходные кривые'!$B$17:$L$17),INDEX('Исходные кривые'!$B$19:$L$19,1,COLUMNS('Исходные кривые'!$B$19:$L$19)),INDEX('Исходные кривые'!$B$19:$L$19,1,MATCH(C12,'Исходные кривые'!$B$17:$L$17,1))+(C12-INDEX('Исходные кривые'!$B$17:$L$17,1,MATCH(C12,'Исходные кривые'!$B$17:$L$17,1)))*(INDEX('Исходные кривые'!$B$19:$L$19,1,MATCH(C12,'Исходные кривые'!$B$17:$L$17,1)+1)-INDEX('Исходные кривые'!$B$19:$L$19,1,MATCH(C12,'Исходные кривые'!$B$17:$L$17,1)))/(INDEX('Исходные кривые'!$B$17:$L$17,1,MATCH(C12,'Исходные кривые'!$B$17:$L$17,1)+1)-INDEX('Исходные кривые'!$B$17:$L$17,1,MATCH(C12,'Исходные кривые'!$B$17:$L$17,1)))))</f>
        <v>-4.8273972602739725</v>
      </c>
    </row>
    <row r="13" spans="1:9">
      <c r="A13" s="9">
        <v>46960</v>
      </c>
      <c r="B13" s="11">
        <f>A13-Настройки!$B$4</f>
        <v>757</v>
      </c>
      <c r="C13" s="12">
        <f>B13/Настройки!$B$5</f>
        <v>2.0739726027397261</v>
      </c>
      <c r="D13" s="12">
        <f>IF(C13&lt;=MIN('Исходные кривые'!$B$4:$L$4),INDEX('Исходные кривые'!$B$5:$L$5,1,1),IF(C13&gt;=MAX('Исходные кривые'!$B$4:$L$4),INDEX('Исходные кривые'!$B$5:$L$5,1,COLUMNS('Исходные кривые'!$B$5:$L$5)),INDEX('Исходные кривые'!$B$5:$L$5,1,MATCH(C13,'Исходные кривые'!$B$4:$L$4,1))+(C13-INDEX('Исходные кривые'!$B$4:$L$4,1,MATCH(C13,'Исходные кривые'!$B$4:$L$4,1)))*(INDEX('Исходные кривые'!$B$5:$L$5,1,MATCH(C13,'Исходные кривые'!$B$4:$L$4,1)+1)-INDEX('Исходные кривые'!$B$5:$L$5,1,MATCH(C13,'Исходные кривые'!$B$4:$L$4,1)))/(INDEX('Исходные кривые'!$B$4:$L$4,1,MATCH(C13,'Исходные кривые'!$B$4:$L$4,1)+1)-INDEX('Исходные кривые'!$B$4:$L$4,1,MATCH(C13,'Исходные кривые'!$B$4:$L$4,1)))))</f>
        <v>13.914383561643834</v>
      </c>
      <c r="E13" s="12">
        <f>IF(C13&lt;=MIN('Исходные кривые'!$B$8:$N$8),INDEX('Исходные кривые'!$B$9:$N$9,1,1),IF(C13&gt;=MAX('Исходные кривые'!$B$8:$N$8),INDEX('Исходные кривые'!$B$9:$N$9,1,COLUMNS('Исходные кривые'!$B$9:$N$9)),INDEX('Исходные кривые'!$B$9:$N$9,1,MATCH(C13,'Исходные кривые'!$B$8:$N$8,1))+(C13-INDEX('Исходные кривые'!$B$8:$N$8,1,MATCH(C13,'Исходные кривые'!$B$8:$N$8,1)))*(INDEX('Исходные кривые'!$B$9:$N$9,1,MATCH(C13,'Исходные кривые'!$B$8:$N$8,1)+1)-INDEX('Исходные кривые'!$B$9:$N$9,1,MATCH(C13,'Исходные кривые'!$B$8:$N$8,1)))/(INDEX('Исходные кривые'!$B$8:$N$8,1,MATCH(C13,'Исходные кривые'!$B$8:$N$8,1)+1)-INDEX('Исходные кривые'!$B$8:$N$8,1,MATCH(C13,'Исходные кривые'!$B$8:$N$8,1)))))</f>
        <v>15.914383561643834</v>
      </c>
      <c r="F13" s="12">
        <f>IF(C13&lt;=MIN('Исходные кривые'!$B$12:$K$12),INDEX('Исходные кривые'!$B$13:$K$13,1,1),IF(C13&gt;=MAX('Исходные кривые'!$B$12:$K$12),INDEX('Исходные кривые'!$B$13:$K$13,1,COLUMNS('Исходные кривые'!$B$13:$K$13)),INDEX('Исходные кривые'!$B$13:$K$13,1,MATCH(C13,'Исходные кривые'!$B$12:$K$12,1))+(C13-INDEX('Исходные кривые'!$B$12:$K$12,1,MATCH(C13,'Исходные кривые'!$B$12:$K$12,1)))*(INDEX('Исходные кривые'!$B$13:$K$13,1,MATCH(C13,'Исходные кривые'!$B$12:$K$12,1)+1)-INDEX('Исходные кривые'!$B$13:$K$13,1,MATCH(C13,'Исходные кривые'!$B$12:$K$12,1)))/(INDEX('Исходные кривые'!$B$12:$K$12,1,MATCH(C13,'Исходные кривые'!$B$12:$K$12,1)+1)-INDEX('Исходные кривые'!$B$12:$K$12,1,MATCH(C13,'Исходные кривые'!$B$12:$K$12,1)))))</f>
        <v>54.92602739726027</v>
      </c>
      <c r="G13" s="12">
        <f>IF(C13&lt;=MIN('Исходные кривые'!$B$12:$K$12),INDEX('Исходные кривые'!$B$14:$K$14,1,1),IF(C13&gt;=MAX('Исходные кривые'!$B$12:$K$12),INDEX('Исходные кривые'!$B$14:$K$14,1,COLUMNS('Исходные кривые'!$B$14:$K$14)),INDEX('Исходные кривые'!$B$14:$K$14,1,MATCH(C13,'Исходные кривые'!$B$12:$K$12,1))+(C13-INDEX('Исходные кривые'!$B$12:$K$12,1,MATCH(C13,'Исходные кривые'!$B$12:$K$12,1)))*(INDEX('Исходные кривые'!$B$14:$K$14,1,MATCH(C13,'Исходные кривые'!$B$12:$K$12,1)+1)-INDEX('Исходные кривые'!$B$14:$K$14,1,MATCH(C13,'Исходные кривые'!$B$12:$K$12,1)))/(INDEX('Исходные кривые'!$B$12:$K$12,1,MATCH(C13,'Исходные кривые'!$B$12:$K$12,1)+1)-INDEX('Исходные кривые'!$B$12:$K$12,1,MATCH(C13,'Исходные кривые'!$B$12:$K$12,1)))))</f>
        <v>-28.926027397260274</v>
      </c>
      <c r="H13" s="12">
        <f>IF(C13&lt;=MIN('Исходные кривые'!$B$17:$L$17),INDEX('Исходные кривые'!$B$18:$L$18,1,1),IF(C13&gt;=MAX('Исходные кривые'!$B$17:$L$17),INDEX('Исходные кривые'!$B$18:$L$18,1,COLUMNS('Исходные кривые'!$B$18:$L$18)),INDEX('Исходные кривые'!$B$18:$L$18,1,MATCH(C13,'Исходные кривые'!$B$17:$L$17,1))+(C13-INDEX('Исходные кривые'!$B$17:$L$17,1,MATCH(C13,'Исходные кривые'!$B$17:$L$17,1)))*(INDEX('Исходные кривые'!$B$18:$L$18,1,MATCH(C13,'Исходные кривые'!$B$17:$L$17,1)+1)-INDEX('Исходные кривые'!$B$18:$L$18,1,MATCH(C13,'Исходные кривые'!$B$17:$L$17,1)))/(INDEX('Исходные кривые'!$B$17:$L$17,1,MATCH(C13,'Исходные кривые'!$B$17:$L$17,1)+1)-INDEX('Исходные кривые'!$B$17:$L$17,1,MATCH(C13,'Исходные кривые'!$B$17:$L$17,1)))))</f>
        <v>7.1871232876712332</v>
      </c>
      <c r="I13" s="12">
        <f>IF(C13&lt;=MIN('Исходные кривые'!$B$17:$L$17),INDEX('Исходные кривые'!$B$19:$L$19,1,1),IF(C13&gt;=MAX('Исходные кривые'!$B$17:$L$17),INDEX('Исходные кривые'!$B$19:$L$19,1,COLUMNS('Исходные кривые'!$B$19:$L$19)),INDEX('Исходные кривые'!$B$19:$L$19,1,MATCH(C13,'Исходные кривые'!$B$17:$L$17,1))+(C13-INDEX('Исходные кривые'!$B$17:$L$17,1,MATCH(C13,'Исходные кривые'!$B$17:$L$17,1)))*(INDEX('Исходные кривые'!$B$19:$L$19,1,MATCH(C13,'Исходные кривые'!$B$17:$L$17,1)+1)-INDEX('Исходные кривые'!$B$19:$L$19,1,MATCH(C13,'Исходные кривые'!$B$17:$L$17,1)))/(INDEX('Исходные кривые'!$B$17:$L$17,1,MATCH(C13,'Исходные кривые'!$B$17:$L$17,1)+1)-INDEX('Исходные кривые'!$B$17:$L$17,1,MATCH(C13,'Исходные кривые'!$B$17:$L$17,1)))))</f>
        <v>-4.622328767123288</v>
      </c>
    </row>
    <row r="14" spans="1:9">
      <c r="A14" s="9">
        <v>47142</v>
      </c>
      <c r="B14" s="11">
        <f>A14-Настройки!$B$4</f>
        <v>939</v>
      </c>
      <c r="C14" s="12">
        <f>B14/Настройки!$B$5</f>
        <v>2.5726027397260274</v>
      </c>
      <c r="D14" s="12">
        <f>IF(C14&lt;=MIN('Исходные кривые'!$B$4:$L$4),INDEX('Исходные кривые'!$B$5:$L$5,1,1),IF(C14&gt;=MAX('Исходные кривые'!$B$4:$L$4),INDEX('Исходные кривые'!$B$5:$L$5,1,COLUMNS('Исходные кривые'!$B$5:$L$5)),INDEX('Исходные кривые'!$B$5:$L$5,1,MATCH(C14,'Исходные кривые'!$B$4:$L$4,1))+(C14-INDEX('Исходные кривые'!$B$4:$L$4,1,MATCH(C14,'Исходные кривые'!$B$4:$L$4,1)))*(INDEX('Исходные кривые'!$B$5:$L$5,1,MATCH(C14,'Исходные кривые'!$B$4:$L$4,1)+1)-INDEX('Исходные кривые'!$B$5:$L$5,1,MATCH(C14,'Исходные кривые'!$B$4:$L$4,1)))/(INDEX('Исходные кривые'!$B$4:$L$4,1,MATCH(C14,'Исходные кривые'!$B$4:$L$4,1)+1)-INDEX('Исходные кривые'!$B$4:$L$4,1,MATCH(C14,'Исходные кривые'!$B$4:$L$4,1)))))</f>
        <v>14.213561643835616</v>
      </c>
      <c r="E14" s="12">
        <f>IF(C14&lt;=MIN('Исходные кривые'!$B$8:$N$8),INDEX('Исходные кривые'!$B$9:$N$9,1,1),IF(C14&gt;=MAX('Исходные кривые'!$B$8:$N$8),INDEX('Исходные кривые'!$B$9:$N$9,1,COLUMNS('Исходные кривые'!$B$9:$N$9)),INDEX('Исходные кривые'!$B$9:$N$9,1,MATCH(C14,'Исходные кривые'!$B$8:$N$8,1))+(C14-INDEX('Исходные кривые'!$B$8:$N$8,1,MATCH(C14,'Исходные кривые'!$B$8:$N$8,1)))*(INDEX('Исходные кривые'!$B$9:$N$9,1,MATCH(C14,'Исходные кривые'!$B$8:$N$8,1)+1)-INDEX('Исходные кривые'!$B$9:$N$9,1,MATCH(C14,'Исходные кривые'!$B$8:$N$8,1)))/(INDEX('Исходные кривые'!$B$8:$N$8,1,MATCH(C14,'Исходные кривые'!$B$8:$N$8,1)+1)-INDEX('Исходные кривые'!$B$8:$N$8,1,MATCH(C14,'Исходные кривые'!$B$8:$N$8,1)))))</f>
        <v>16.213561643835614</v>
      </c>
      <c r="F14" s="12">
        <f>IF(C14&lt;=MIN('Исходные кривые'!$B$12:$K$12),INDEX('Исходные кривые'!$B$13:$K$13,1,1),IF(C14&gt;=MAX('Исходные кривые'!$B$12:$K$12),INDEX('Исходные кривые'!$B$13:$K$13,1,COLUMNS('Исходные кривые'!$B$13:$K$13)),INDEX('Исходные кривые'!$B$13:$K$13,1,MATCH(C14,'Исходные кривые'!$B$12:$K$12,1))+(C14-INDEX('Исходные кривые'!$B$12:$K$12,1,MATCH(C14,'Исходные кривые'!$B$12:$K$12,1)))*(INDEX('Исходные кривые'!$B$13:$K$13,1,MATCH(C14,'Исходные кривые'!$B$12:$K$12,1)+1)-INDEX('Исходные кривые'!$B$13:$K$13,1,MATCH(C14,'Исходные кривые'!$B$12:$K$12,1)))/(INDEX('Исходные кривые'!$B$12:$K$12,1,MATCH(C14,'Исходные кривые'!$B$12:$K$12,1)+1)-INDEX('Исходные кривые'!$B$12:$K$12,1,MATCH(C14,'Исходные кривые'!$B$12:$K$12,1)))))</f>
        <v>54.42739726027397</v>
      </c>
      <c r="G14" s="12">
        <f>IF(C14&lt;=MIN('Исходные кривые'!$B$12:$K$12),INDEX('Исходные кривые'!$B$14:$K$14,1,1),IF(C14&gt;=MAX('Исходные кривые'!$B$12:$K$12),INDEX('Исходные кривые'!$B$14:$K$14,1,COLUMNS('Исходные кривые'!$B$14:$K$14)),INDEX('Исходные кривые'!$B$14:$K$14,1,MATCH(C14,'Исходные кривые'!$B$12:$K$12,1))+(C14-INDEX('Исходные кривые'!$B$12:$K$12,1,MATCH(C14,'Исходные кривые'!$B$12:$K$12,1)))*(INDEX('Исходные кривые'!$B$14:$K$14,1,MATCH(C14,'Исходные кривые'!$B$12:$K$12,1)+1)-INDEX('Исходные кривые'!$B$14:$K$14,1,MATCH(C14,'Исходные кривые'!$B$12:$K$12,1)))/(INDEX('Исходные кривые'!$B$12:$K$12,1,MATCH(C14,'Исходные кривые'!$B$12:$K$12,1)+1)-INDEX('Исходные кривые'!$B$12:$K$12,1,MATCH(C14,'Исходные кривые'!$B$12:$K$12,1)))))</f>
        <v>-28.427397260273974</v>
      </c>
      <c r="H14" s="12">
        <f>IF(C14&lt;=MIN('Исходные кривые'!$B$17:$L$17),INDEX('Исходные кривые'!$B$18:$L$18,1,1),IF(C14&gt;=MAX('Исходные кривые'!$B$17:$L$17),INDEX('Исходные кривые'!$B$18:$L$18,1,COLUMNS('Исходные кривые'!$B$18:$L$18)),INDEX('Исходные кривые'!$B$18:$L$18,1,MATCH(C14,'Исходные кривые'!$B$17:$L$17,1))+(C14-INDEX('Исходные кривые'!$B$17:$L$17,1,MATCH(C14,'Исходные кривые'!$B$17:$L$17,1)))*(INDEX('Исходные кривые'!$B$18:$L$18,1,MATCH(C14,'Исходные кривые'!$B$17:$L$17,1)+1)-INDEX('Исходные кривые'!$B$18:$L$18,1,MATCH(C14,'Исходные кривые'!$B$17:$L$17,1)))/(INDEX('Исходные кривые'!$B$17:$L$17,1,MATCH(C14,'Исходные кривые'!$B$17:$L$17,1)+1)-INDEX('Исходные кривые'!$B$17:$L$17,1,MATCH(C14,'Исходные кривые'!$B$17:$L$17,1)))))</f>
        <v>6.7632876712328773</v>
      </c>
      <c r="I14" s="12">
        <f>IF(C14&lt;=MIN('Исходные кривые'!$B$17:$L$17),INDEX('Исходные кривые'!$B$19:$L$19,1,1),IF(C14&gt;=MAX('Исходные кривые'!$B$17:$L$17),INDEX('Исходные кривые'!$B$19:$L$19,1,COLUMNS('Исходные кривые'!$B$19:$L$19)),INDEX('Исходные кривые'!$B$19:$L$19,1,MATCH(C14,'Исходные кривые'!$B$17:$L$17,1))+(C14-INDEX('Исходные кривые'!$B$17:$L$17,1,MATCH(C14,'Исходные кривые'!$B$17:$L$17,1)))*(INDEX('Исходные кривые'!$B$19:$L$19,1,MATCH(C14,'Исходные кривые'!$B$17:$L$17,1)+1)-INDEX('Исходные кривые'!$B$19:$L$19,1,MATCH(C14,'Исходные кривые'!$B$17:$L$17,1)))/(INDEX('Исходные кривые'!$B$17:$L$17,1,MATCH(C14,'Исходные кривые'!$B$17:$L$17,1)+1)-INDEX('Исходные кривые'!$B$17:$L$17,1,MATCH(C14,'Исходные кривые'!$B$17:$L$17,1)))))</f>
        <v>-4.0987671232876712</v>
      </c>
    </row>
    <row r="15" spans="1:9">
      <c r="A15" s="9">
        <v>47324</v>
      </c>
      <c r="B15" s="11">
        <f>A15-Настройки!$B$4</f>
        <v>1121</v>
      </c>
      <c r="C15" s="12">
        <f>B15/Настройки!$B$5</f>
        <v>3.0712328767123287</v>
      </c>
      <c r="D15" s="12">
        <f>IF(C15&lt;=MIN('Исходные кривые'!$B$4:$L$4),INDEX('Исходные кривые'!$B$5:$L$5,1,1),IF(C15&gt;=MAX('Исходные кривые'!$B$4:$L$4),INDEX('Исходные кривые'!$B$5:$L$5,1,COLUMNS('Исходные кривые'!$B$5:$L$5)),INDEX('Исходные кривые'!$B$5:$L$5,1,MATCH(C15,'Исходные кривые'!$B$4:$L$4,1))+(C15-INDEX('Исходные кривые'!$B$4:$L$4,1,MATCH(C15,'Исходные кривые'!$B$4:$L$4,1)))*(INDEX('Исходные кривые'!$B$5:$L$5,1,MATCH(C15,'Исходные кривые'!$B$4:$L$4,1)+1)-INDEX('Исходные кривые'!$B$5:$L$5,1,MATCH(C15,'Исходные кривые'!$B$4:$L$4,1)))/(INDEX('Исходные кривые'!$B$4:$L$4,1,MATCH(C15,'Исходные кривые'!$B$4:$L$4,1)+1)-INDEX('Исходные кривые'!$B$4:$L$4,1,MATCH(C15,'Исходные кривые'!$B$4:$L$4,1)))))</f>
        <v>14.503835616438357</v>
      </c>
      <c r="E15" s="12">
        <f>IF(C15&lt;=MIN('Исходные кривые'!$B$8:$N$8),INDEX('Исходные кривые'!$B$9:$N$9,1,1),IF(C15&gt;=MAX('Исходные кривые'!$B$8:$N$8),INDEX('Исходные кривые'!$B$9:$N$9,1,COLUMNS('Исходные кривые'!$B$9:$N$9)),INDEX('Исходные кривые'!$B$9:$N$9,1,MATCH(C15,'Исходные кривые'!$B$8:$N$8,1))+(C15-INDEX('Исходные кривые'!$B$8:$N$8,1,MATCH(C15,'Исходные кривые'!$B$8:$N$8,1)))*(INDEX('Исходные кривые'!$B$9:$N$9,1,MATCH(C15,'Исходные кривые'!$B$8:$N$8,1)+1)-INDEX('Исходные кривые'!$B$9:$N$9,1,MATCH(C15,'Исходные кривые'!$B$8:$N$8,1)))/(INDEX('Исходные кривые'!$B$8:$N$8,1,MATCH(C15,'Исходные кривые'!$B$8:$N$8,1)+1)-INDEX('Исходные кривые'!$B$8:$N$8,1,MATCH(C15,'Исходные кривые'!$B$8:$N$8,1)))))</f>
        <v>16.503835616438355</v>
      </c>
      <c r="F15" s="12">
        <f>IF(C15&lt;=MIN('Исходные кривые'!$B$12:$K$12),INDEX('Исходные кривые'!$B$13:$K$13,1,1),IF(C15&gt;=MAX('Исходные кривые'!$B$12:$K$12),INDEX('Исходные кривые'!$B$13:$K$13,1,COLUMNS('Исходные кривые'!$B$13:$K$13)),INDEX('Исходные кривые'!$B$13:$K$13,1,MATCH(C15,'Исходные кривые'!$B$12:$K$12,1))+(C15-INDEX('Исходные кривые'!$B$12:$K$12,1,MATCH(C15,'Исходные кривые'!$B$12:$K$12,1)))*(INDEX('Исходные кривые'!$B$13:$K$13,1,MATCH(C15,'Исходные кривые'!$B$12:$K$12,1)+1)-INDEX('Исходные кривые'!$B$13:$K$13,1,MATCH(C15,'Исходные кривые'!$B$12:$K$12,1)))/(INDEX('Исходные кривые'!$B$12:$K$12,1,MATCH(C15,'Исходные кривые'!$B$12:$K$12,1)+1)-INDEX('Исходные кривые'!$B$12:$K$12,1,MATCH(C15,'Исходные кривые'!$B$12:$K$12,1)))))</f>
        <v>53.786301369863011</v>
      </c>
      <c r="G15" s="12">
        <f>IF(C15&lt;=MIN('Исходные кривые'!$B$12:$K$12),INDEX('Исходные кривые'!$B$14:$K$14,1,1),IF(C15&gt;=MAX('Исходные кривые'!$B$12:$K$12),INDEX('Исходные кривые'!$B$14:$K$14,1,COLUMNS('Исходные кривые'!$B$14:$K$14)),INDEX('Исходные кривые'!$B$14:$K$14,1,MATCH(C15,'Исходные кривые'!$B$12:$K$12,1))+(C15-INDEX('Исходные кривые'!$B$12:$K$12,1,MATCH(C15,'Исходные кривые'!$B$12:$K$12,1)))*(INDEX('Исходные кривые'!$B$14:$K$14,1,MATCH(C15,'Исходные кривые'!$B$12:$K$12,1)+1)-INDEX('Исходные кривые'!$B$14:$K$14,1,MATCH(C15,'Исходные кривые'!$B$12:$K$12,1)))/(INDEX('Исходные кривые'!$B$12:$K$12,1,MATCH(C15,'Исходные кривые'!$B$12:$K$12,1)+1)-INDEX('Исходные кривые'!$B$12:$K$12,1,MATCH(C15,'Исходные кривые'!$B$12:$K$12,1)))))</f>
        <v>-27.964383561643835</v>
      </c>
      <c r="H15" s="12">
        <f>IF(C15&lt;=MIN('Исходные кривые'!$B$17:$L$17),INDEX('Исходные кривые'!$B$18:$L$18,1,1),IF(C15&gt;=MAX('Исходные кривые'!$B$17:$L$17),INDEX('Исходные кривые'!$B$18:$L$18,1,COLUMNS('Исходные кривые'!$B$18:$L$18)),INDEX('Исходные кривые'!$B$18:$L$18,1,MATCH(C15,'Исходные кривые'!$B$17:$L$17,1))+(C15-INDEX('Исходные кривые'!$B$17:$L$17,1,MATCH(C15,'Исходные кривые'!$B$17:$L$17,1)))*(INDEX('Исходные кривые'!$B$18:$L$18,1,MATCH(C15,'Исходные кривые'!$B$17:$L$17,1)+1)-INDEX('Исходные кривые'!$B$18:$L$18,1,MATCH(C15,'Исходные кривые'!$B$17:$L$17,1)))/(INDEX('Исходные кривые'!$B$17:$L$17,1,MATCH(C15,'Исходные кривые'!$B$17:$L$17,1)+1)-INDEX('Исходные кривые'!$B$17:$L$17,1,MATCH(C15,'Исходные кривые'!$B$17:$L$17,1)))))</f>
        <v>6.382191780821918</v>
      </c>
      <c r="I15" s="12">
        <f>IF(C15&lt;=MIN('Исходные кривые'!$B$17:$L$17),INDEX('Исходные кривые'!$B$19:$L$19,1,1),IF(C15&gt;=MAX('Исходные кривые'!$B$17:$L$17),INDEX('Исходные кривые'!$B$19:$L$19,1,COLUMNS('Исходные кривые'!$B$19:$L$19)),INDEX('Исходные кривые'!$B$19:$L$19,1,MATCH(C15,'Исходные кривые'!$B$17:$L$17,1))+(C15-INDEX('Исходные кривые'!$B$17:$L$17,1,MATCH(C15,'Исходные кривые'!$B$17:$L$17,1)))*(INDEX('Исходные кривые'!$B$19:$L$19,1,MATCH(C15,'Исходные кривые'!$B$17:$L$17,1)+1)-INDEX('Исходные кривые'!$B$19:$L$19,1,MATCH(C15,'Исходные кривые'!$B$17:$L$17,1)))/(INDEX('Исходные кривые'!$B$17:$L$17,1,MATCH(C15,'Исходные кривые'!$B$17:$L$17,1)+1)-INDEX('Исходные кривые'!$B$17:$L$17,1,MATCH(C15,'Исходные кривые'!$B$17:$L$17,1)))))</f>
        <v>-3.5930136986301369</v>
      </c>
    </row>
    <row r="16" spans="1:9">
      <c r="A16" s="9">
        <v>47506</v>
      </c>
      <c r="B16" s="11">
        <f>A16-Настройки!$B$4</f>
        <v>1303</v>
      </c>
      <c r="C16" s="12">
        <f>B16/Настройки!$B$5</f>
        <v>3.56986301369863</v>
      </c>
      <c r="D16" s="12">
        <f>IF(C16&lt;=MIN('Исходные кривые'!$B$4:$L$4),INDEX('Исходные кривые'!$B$5:$L$5,1,1),IF(C16&gt;=MAX('Исходные кривые'!$B$4:$L$4),INDEX('Исходные кривые'!$B$5:$L$5,1,COLUMNS('Исходные кривые'!$B$5:$L$5)),INDEX('Исходные кривые'!$B$5:$L$5,1,MATCH(C16,'Исходные кривые'!$B$4:$L$4,1))+(C16-INDEX('Исходные кривые'!$B$4:$L$4,1,MATCH(C16,'Исходные кривые'!$B$4:$L$4,1)))*(INDEX('Исходные кривые'!$B$5:$L$5,1,MATCH(C16,'Исходные кривые'!$B$4:$L$4,1)+1)-INDEX('Исходные кривые'!$B$5:$L$5,1,MATCH(C16,'Исходные кривые'!$B$4:$L$4,1)))/(INDEX('Исходные кривые'!$B$4:$L$4,1,MATCH(C16,'Исходные кривые'!$B$4:$L$4,1)+1)-INDEX('Исходные кривые'!$B$4:$L$4,1,MATCH(C16,'Исходные кривые'!$B$4:$L$4,1)))))</f>
        <v>14.74068493150685</v>
      </c>
      <c r="E16" s="12">
        <f>IF(C16&lt;=MIN('Исходные кривые'!$B$8:$N$8),INDEX('Исходные кривые'!$B$9:$N$9,1,1),IF(C16&gt;=MAX('Исходные кривые'!$B$8:$N$8),INDEX('Исходные кривые'!$B$9:$N$9,1,COLUMNS('Исходные кривые'!$B$9:$N$9)),INDEX('Исходные кривые'!$B$9:$N$9,1,MATCH(C16,'Исходные кривые'!$B$8:$N$8,1))+(C16-INDEX('Исходные кривые'!$B$8:$N$8,1,MATCH(C16,'Исходные кривые'!$B$8:$N$8,1)))*(INDEX('Исходные кривые'!$B$9:$N$9,1,MATCH(C16,'Исходные кривые'!$B$8:$N$8,1)+1)-INDEX('Исходные кривые'!$B$9:$N$9,1,MATCH(C16,'Исходные кривые'!$B$8:$N$8,1)))/(INDEX('Исходные кривые'!$B$8:$N$8,1,MATCH(C16,'Исходные кривые'!$B$8:$N$8,1)+1)-INDEX('Исходные кривые'!$B$8:$N$8,1,MATCH(C16,'Исходные кривые'!$B$8:$N$8,1)))))</f>
        <v>16.740684931506848</v>
      </c>
      <c r="F16" s="12">
        <f>IF(C16&lt;=MIN('Исходные кривые'!$B$12:$K$12),INDEX('Исходные кривые'!$B$13:$K$13,1,1),IF(C16&gt;=MAX('Исходные кривые'!$B$12:$K$12),INDEX('Исходные кривые'!$B$13:$K$13,1,COLUMNS('Исходные кривые'!$B$13:$K$13)),INDEX('Исходные кривые'!$B$13:$K$13,1,MATCH(C16,'Исходные кривые'!$B$12:$K$12,1))+(C16-INDEX('Исходные кривые'!$B$12:$K$12,1,MATCH(C16,'Исходные кривые'!$B$12:$K$12,1)))*(INDEX('Исходные кривые'!$B$13:$K$13,1,MATCH(C16,'Исходные кривые'!$B$12:$K$12,1)+1)-INDEX('Исходные кривые'!$B$13:$K$13,1,MATCH(C16,'Исходные кривые'!$B$12:$K$12,1)))/(INDEX('Исходные кривые'!$B$12:$K$12,1,MATCH(C16,'Исходные кривые'!$B$12:$K$12,1)+1)-INDEX('Исходные кривые'!$B$12:$K$12,1,MATCH(C16,'Исходные кривые'!$B$12:$K$12,1)))))</f>
        <v>52.290410958904111</v>
      </c>
      <c r="G16" s="12">
        <f>IF(C16&lt;=MIN('Исходные кривые'!$B$12:$K$12),INDEX('Исходные кривые'!$B$14:$K$14,1,1),IF(C16&gt;=MAX('Исходные кривые'!$B$12:$K$12),INDEX('Исходные кривые'!$B$14:$K$14,1,COLUMNS('Исходные кривые'!$B$14:$K$14)),INDEX('Исходные кривые'!$B$14:$K$14,1,MATCH(C16,'Исходные кривые'!$B$12:$K$12,1))+(C16-INDEX('Исходные кривые'!$B$12:$K$12,1,MATCH(C16,'Исходные кривые'!$B$12:$K$12,1)))*(INDEX('Исходные кривые'!$B$14:$K$14,1,MATCH(C16,'Исходные кривые'!$B$12:$K$12,1)+1)-INDEX('Исходные кривые'!$B$14:$K$14,1,MATCH(C16,'Исходные кривые'!$B$12:$K$12,1)))/(INDEX('Исходные кривые'!$B$12:$K$12,1,MATCH(C16,'Исходные кривые'!$B$12:$K$12,1)+1)-INDEX('Исходные кривые'!$B$12:$K$12,1,MATCH(C16,'Исходные кривые'!$B$12:$K$12,1)))))</f>
        <v>-27.715068493150685</v>
      </c>
      <c r="H16" s="12">
        <f>IF(C16&lt;=MIN('Исходные кривые'!$B$17:$L$17),INDEX('Исходные кривые'!$B$18:$L$18,1,1),IF(C16&gt;=MAX('Исходные кривые'!$B$17:$L$17),INDEX('Исходные кривые'!$B$18:$L$18,1,COLUMNS('Исходные кривые'!$B$18:$L$18)),INDEX('Исходные кривые'!$B$18:$L$18,1,MATCH(C16,'Исходные кривые'!$B$17:$L$17,1))+(C16-INDEX('Исходные кривые'!$B$17:$L$17,1,MATCH(C16,'Исходные кривые'!$B$17:$L$17,1)))*(INDEX('Исходные кривые'!$B$18:$L$18,1,MATCH(C16,'Исходные кривые'!$B$17:$L$17,1)+1)-INDEX('Исходные кривые'!$B$18:$L$18,1,MATCH(C16,'Исходные кривые'!$B$17:$L$17,1)))/(INDEX('Исходные кривые'!$B$17:$L$17,1,MATCH(C16,'Исходные кривые'!$B$17:$L$17,1)+1)-INDEX('Исходные кривые'!$B$17:$L$17,1,MATCH(C16,'Исходные кривые'!$B$17:$L$17,1)))))</f>
        <v>6.257534246575343</v>
      </c>
      <c r="I16" s="12">
        <f>IF(C16&lt;=MIN('Исходные кривые'!$B$17:$L$17),INDEX('Исходные кривые'!$B$19:$L$19,1,1),IF(C16&gt;=MAX('Исходные кривые'!$B$17:$L$17),INDEX('Исходные кривые'!$B$19:$L$19,1,COLUMNS('Исходные кривые'!$B$19:$L$19)),INDEX('Исходные кривые'!$B$19:$L$19,1,MATCH(C16,'Исходные кривые'!$B$17:$L$17,1))+(C16-INDEX('Исходные кривые'!$B$17:$L$17,1,MATCH(C16,'Исходные кривые'!$B$17:$L$17,1)))*(INDEX('Исходные кривые'!$B$19:$L$19,1,MATCH(C16,'Исходные кривые'!$B$17:$L$17,1)+1)-INDEX('Исходные кривые'!$B$19:$L$19,1,MATCH(C16,'Исходные кривые'!$B$17:$L$17,1)))/(INDEX('Исходные кривые'!$B$17:$L$17,1,MATCH(C16,'Исходные кривые'!$B$17:$L$17,1)+1)-INDEX('Исходные кривые'!$B$17:$L$17,1,MATCH(C16,'Исходные кривые'!$B$17:$L$17,1)))))</f>
        <v>-3.194109589041096</v>
      </c>
    </row>
    <row r="17" spans="1:9">
      <c r="A17" s="9">
        <v>47688</v>
      </c>
      <c r="B17" s="11">
        <f>A17-Настройки!$B$4</f>
        <v>1485</v>
      </c>
      <c r="C17" s="12">
        <f>B17/Настройки!$B$5</f>
        <v>4.0684931506849313</v>
      </c>
      <c r="D17" s="12">
        <f>IF(C17&lt;=MIN('Исходные кривые'!$B$4:$L$4),INDEX('Исходные кривые'!$B$5:$L$5,1,1),IF(C17&gt;=MAX('Исходные кривые'!$B$4:$L$4),INDEX('Исходные кривые'!$B$5:$L$5,1,COLUMNS('Исходные кривые'!$B$5:$L$5)),INDEX('Исходные кривые'!$B$5:$L$5,1,MATCH(C17,'Исходные кривые'!$B$4:$L$4,1))+(C17-INDEX('Исходные кривые'!$B$4:$L$4,1,MATCH(C17,'Исходные кривые'!$B$4:$L$4,1)))*(INDEX('Исходные кривые'!$B$5:$L$5,1,MATCH(C17,'Исходные кривые'!$B$4:$L$4,1)+1)-INDEX('Исходные кривые'!$B$5:$L$5,1,MATCH(C17,'Исходные кривые'!$B$4:$L$4,1)))/(INDEX('Исходные кривые'!$B$4:$L$4,1,MATCH(C17,'Исходные кривые'!$B$4:$L$4,1)+1)-INDEX('Исходные кривые'!$B$4:$L$4,1,MATCH(C17,'Исходные кривые'!$B$4:$L$4,1)))))</f>
        <v>14.977534246575342</v>
      </c>
      <c r="E17" s="12">
        <f>IF(C17&lt;=MIN('Исходные кривые'!$B$8:$N$8),INDEX('Исходные кривые'!$B$9:$N$9,1,1),IF(C17&gt;=MAX('Исходные кривые'!$B$8:$N$8),INDEX('Исходные кривые'!$B$9:$N$9,1,COLUMNS('Исходные кривые'!$B$9:$N$9)),INDEX('Исходные кривые'!$B$9:$N$9,1,MATCH(C17,'Исходные кривые'!$B$8:$N$8,1))+(C17-INDEX('Исходные кривые'!$B$8:$N$8,1,MATCH(C17,'Исходные кривые'!$B$8:$N$8,1)))*(INDEX('Исходные кривые'!$B$9:$N$9,1,MATCH(C17,'Исходные кривые'!$B$8:$N$8,1)+1)-INDEX('Исходные кривые'!$B$9:$N$9,1,MATCH(C17,'Исходные кривые'!$B$8:$N$8,1)))/(INDEX('Исходные кривые'!$B$8:$N$8,1,MATCH(C17,'Исходные кривые'!$B$8:$N$8,1)+1)-INDEX('Исходные кривые'!$B$8:$N$8,1,MATCH(C17,'Исходные кривые'!$B$8:$N$8,1)))))</f>
        <v>16.977534246575342</v>
      </c>
      <c r="F17" s="12">
        <f>IF(C17&lt;=MIN('Исходные кривые'!$B$12:$K$12),INDEX('Исходные кривые'!$B$13:$K$13,1,1),IF(C17&gt;=MAX('Исходные кривые'!$B$12:$K$12),INDEX('Исходные кривые'!$B$13:$K$13,1,COLUMNS('Исходные кривые'!$B$13:$K$13)),INDEX('Исходные кривые'!$B$13:$K$13,1,MATCH(C17,'Исходные кривые'!$B$12:$K$12,1))+(C17-INDEX('Исходные кривые'!$B$12:$K$12,1,MATCH(C17,'Исходные кривые'!$B$12:$K$12,1)))*(INDEX('Исходные кривые'!$B$13:$K$13,1,MATCH(C17,'Исходные кривые'!$B$12:$K$12,1)+1)-INDEX('Исходные кривые'!$B$13:$K$13,1,MATCH(C17,'Исходные кривые'!$B$12:$K$12,1)))/(INDEX('Исходные кривые'!$B$12:$K$12,1,MATCH(C17,'Исходные кривые'!$B$12:$K$12,1)+1)-INDEX('Исходные кривые'!$B$12:$K$12,1,MATCH(C17,'Исходные кривые'!$B$12:$K$12,1)))))</f>
        <v>50.794520547945204</v>
      </c>
      <c r="G17" s="12">
        <f>IF(C17&lt;=MIN('Исходные кривые'!$B$12:$K$12),INDEX('Исходные кривые'!$B$14:$K$14,1,1),IF(C17&gt;=MAX('Исходные кривые'!$B$12:$K$12),INDEX('Исходные кривые'!$B$14:$K$14,1,COLUMNS('Исходные кривые'!$B$14:$K$14)),INDEX('Исходные кривые'!$B$14:$K$14,1,MATCH(C17,'Исходные кривые'!$B$12:$K$12,1))+(C17-INDEX('Исходные кривые'!$B$12:$K$12,1,MATCH(C17,'Исходные кривые'!$B$12:$K$12,1)))*(INDEX('Исходные кривые'!$B$14:$K$14,1,MATCH(C17,'Исходные кривые'!$B$12:$K$12,1)+1)-INDEX('Исходные кривые'!$B$14:$K$14,1,MATCH(C17,'Исходные кривые'!$B$12:$K$12,1)))/(INDEX('Исходные кривые'!$B$12:$K$12,1,MATCH(C17,'Исходные кривые'!$B$12:$K$12,1)+1)-INDEX('Исходные кривые'!$B$12:$K$12,1,MATCH(C17,'Исходные кривые'!$B$12:$K$12,1)))))</f>
        <v>-27.465753424657535</v>
      </c>
      <c r="H17" s="12">
        <f>IF(C17&lt;=MIN('Исходные кривые'!$B$17:$L$17),INDEX('Исходные кривые'!$B$18:$L$18,1,1),IF(C17&gt;=MAX('Исходные кривые'!$B$17:$L$17),INDEX('Исходные кривые'!$B$18:$L$18,1,COLUMNS('Исходные кривые'!$B$18:$L$18)),INDEX('Исходные кривые'!$B$18:$L$18,1,MATCH(C17,'Исходные кривые'!$B$17:$L$17,1))+(C17-INDEX('Исходные кривые'!$B$17:$L$17,1,MATCH(C17,'Исходные кривые'!$B$17:$L$17,1)))*(INDEX('Исходные кривые'!$B$18:$L$18,1,MATCH(C17,'Исходные кривые'!$B$17:$L$17,1)+1)-INDEX('Исходные кривые'!$B$18:$L$18,1,MATCH(C17,'Исходные кривые'!$B$17:$L$17,1)))/(INDEX('Исходные кривые'!$B$17:$L$17,1,MATCH(C17,'Исходные кривые'!$B$17:$L$17,1)+1)-INDEX('Исходные кривые'!$B$17:$L$17,1,MATCH(C17,'Исходные кривые'!$B$17:$L$17,1)))))</f>
        <v>6.0986301369863014</v>
      </c>
      <c r="I17" s="12">
        <f>IF(C17&lt;=MIN('Исходные кривые'!$B$17:$L$17),INDEX('Исходные кривые'!$B$19:$L$19,1,1),IF(C17&gt;=MAX('Исходные кривые'!$B$17:$L$17),INDEX('Исходные кривые'!$B$19:$L$19,1,COLUMNS('Исходные кривые'!$B$19:$L$19)),INDEX('Исходные кривые'!$B$19:$L$19,1,MATCH(C17,'Исходные кривые'!$B$17:$L$17,1))+(C17-INDEX('Исходные кривые'!$B$17:$L$17,1,MATCH(C17,'Исходные кривые'!$B$17:$L$17,1)))*(INDEX('Исходные кривые'!$B$19:$L$19,1,MATCH(C17,'Исходные кривые'!$B$17:$L$17,1)+1)-INDEX('Исходные кривые'!$B$19:$L$19,1,MATCH(C17,'Исходные кривые'!$B$17:$L$17,1)))/(INDEX('Исходные кривые'!$B$17:$L$17,1,MATCH(C17,'Исходные кривые'!$B$17:$L$17,1)+1)-INDEX('Исходные кривые'!$B$17:$L$17,1,MATCH(C17,'Исходные кривые'!$B$17:$L$17,1)))))</f>
        <v>-2.7849315068493152</v>
      </c>
    </row>
    <row r="18" spans="1:9">
      <c r="A18" s="9">
        <v>47870</v>
      </c>
      <c r="B18" s="11">
        <f>A18-Настройки!$B$4</f>
        <v>1667</v>
      </c>
      <c r="C18" s="12">
        <f>B18/Настройки!$B$5</f>
        <v>4.5671232876712331</v>
      </c>
      <c r="D18" s="12">
        <f>IF(C18&lt;=MIN('Исходные кривые'!$B$4:$L$4),INDEX('Исходные кривые'!$B$5:$L$5,1,1),IF(C18&gt;=MAX('Исходные кривые'!$B$4:$L$4),INDEX('Исходные кривые'!$B$5:$L$5,1,COLUMNS('Исходные кривые'!$B$5:$L$5)),INDEX('Исходные кривые'!$B$5:$L$5,1,MATCH(C18,'Исходные кривые'!$B$4:$L$4,1))+(C18-INDEX('Исходные кривые'!$B$4:$L$4,1,MATCH(C18,'Исходные кривые'!$B$4:$L$4,1)))*(INDEX('Исходные кривые'!$B$5:$L$5,1,MATCH(C18,'Исходные кривые'!$B$4:$L$4,1)+1)-INDEX('Исходные кривые'!$B$5:$L$5,1,MATCH(C18,'Исходные кривые'!$B$4:$L$4,1)))/(INDEX('Исходные кривые'!$B$4:$L$4,1,MATCH(C18,'Исходные кривые'!$B$4:$L$4,1)+1)-INDEX('Исходные кривые'!$B$4:$L$4,1,MATCH(C18,'Исходные кривые'!$B$4:$L$4,1)))))</f>
        <v>15.214383561643835</v>
      </c>
      <c r="E18" s="12">
        <f>IF(C18&lt;=MIN('Исходные кривые'!$B$8:$N$8),INDEX('Исходные кривые'!$B$9:$N$9,1,1),IF(C18&gt;=MAX('Исходные кривые'!$B$8:$N$8),INDEX('Исходные кривые'!$B$9:$N$9,1,COLUMNS('Исходные кривые'!$B$9:$N$9)),INDEX('Исходные кривые'!$B$9:$N$9,1,MATCH(C18,'Исходные кривые'!$B$8:$N$8,1))+(C18-INDEX('Исходные кривые'!$B$8:$N$8,1,MATCH(C18,'Исходные кривые'!$B$8:$N$8,1)))*(INDEX('Исходные кривые'!$B$9:$N$9,1,MATCH(C18,'Исходные кривые'!$B$8:$N$8,1)+1)-INDEX('Исходные кривые'!$B$9:$N$9,1,MATCH(C18,'Исходные кривые'!$B$8:$N$8,1)))/(INDEX('Исходные кривые'!$B$8:$N$8,1,MATCH(C18,'Исходные кривые'!$B$8:$N$8,1)+1)-INDEX('Исходные кривые'!$B$8:$N$8,1,MATCH(C18,'Исходные кривые'!$B$8:$N$8,1)))))</f>
        <v>17.214383561643835</v>
      </c>
      <c r="F18" s="12">
        <f>IF(C18&lt;=MIN('Исходные кривые'!$B$12:$K$12),INDEX('Исходные кривые'!$B$13:$K$13,1,1),IF(C18&gt;=MAX('Исходные кривые'!$B$12:$K$12),INDEX('Исходные кривые'!$B$13:$K$13,1,COLUMNS('Исходные кривые'!$B$13:$K$13)),INDEX('Исходные кривые'!$B$13:$K$13,1,MATCH(C18,'Исходные кривые'!$B$12:$K$12,1))+(C18-INDEX('Исходные кривые'!$B$12:$K$12,1,MATCH(C18,'Исходные кривые'!$B$12:$K$12,1)))*(INDEX('Исходные кривые'!$B$13:$K$13,1,MATCH(C18,'Исходные кривые'!$B$12:$K$12,1)+1)-INDEX('Исходные кривые'!$B$13:$K$13,1,MATCH(C18,'Исходные кривые'!$B$12:$K$12,1)))/(INDEX('Исходные кривые'!$B$12:$K$12,1,MATCH(C18,'Исходные кривые'!$B$12:$K$12,1)+1)-INDEX('Исходные кривые'!$B$12:$K$12,1,MATCH(C18,'Исходные кривые'!$B$12:$K$12,1)))))</f>
        <v>49.298630136986304</v>
      </c>
      <c r="G18" s="12">
        <f>IF(C18&lt;=MIN('Исходные кривые'!$B$12:$K$12),INDEX('Исходные кривые'!$B$14:$K$14,1,1),IF(C18&gt;=MAX('Исходные кривые'!$B$12:$K$12),INDEX('Исходные кривые'!$B$14:$K$14,1,COLUMNS('Исходные кривые'!$B$14:$K$14)),INDEX('Исходные кривые'!$B$14:$K$14,1,MATCH(C18,'Исходные кривые'!$B$12:$K$12,1))+(C18-INDEX('Исходные кривые'!$B$12:$K$12,1,MATCH(C18,'Исходные кривые'!$B$12:$K$12,1)))*(INDEX('Исходные кривые'!$B$14:$K$14,1,MATCH(C18,'Исходные кривые'!$B$12:$K$12,1)+1)-INDEX('Исходные кривые'!$B$14:$K$14,1,MATCH(C18,'Исходные кривые'!$B$12:$K$12,1)))/(INDEX('Исходные кривые'!$B$12:$K$12,1,MATCH(C18,'Исходные кривые'!$B$12:$K$12,1)+1)-INDEX('Исходные кривые'!$B$12:$K$12,1,MATCH(C18,'Исходные кривые'!$B$12:$K$12,1)))))</f>
        <v>-27.216438356164382</v>
      </c>
      <c r="H18" s="12">
        <f>IF(C18&lt;=MIN('Исходные кривые'!$B$17:$L$17),INDEX('Исходные кривые'!$B$18:$L$18,1,1),IF(C18&gt;=MAX('Исходные кривые'!$B$17:$L$17),INDEX('Исходные кривые'!$B$18:$L$18,1,COLUMNS('Исходные кривые'!$B$18:$L$18)),INDEX('Исходные кривые'!$B$18:$L$18,1,MATCH(C18,'Исходные кривые'!$B$17:$L$17,1))+(C18-INDEX('Исходные кривые'!$B$17:$L$17,1,MATCH(C18,'Исходные кривые'!$B$17:$L$17,1)))*(INDEX('Исходные кривые'!$B$18:$L$18,1,MATCH(C18,'Исходные кривые'!$B$17:$L$17,1)+1)-INDEX('Исходные кривые'!$B$18:$L$18,1,MATCH(C18,'Исходные кривые'!$B$17:$L$17,1)))/(INDEX('Исходные кривые'!$B$17:$L$17,1,MATCH(C18,'Исходные кривые'!$B$17:$L$17,1)+1)-INDEX('Исходные кривые'!$B$17:$L$17,1,MATCH(C18,'Исходные кривые'!$B$17:$L$17,1)))))</f>
        <v>5.7246575342465755</v>
      </c>
      <c r="I18" s="12">
        <f>IF(C18&lt;=MIN('Исходные кривые'!$B$17:$L$17),INDEX('Исходные кривые'!$B$19:$L$19,1,1),IF(C18&gt;=MAX('Исходные кривые'!$B$17:$L$17),INDEX('Исходные кривые'!$B$19:$L$19,1,COLUMNS('Исходные кривые'!$B$19:$L$19)),INDEX('Исходные кривые'!$B$19:$L$19,1,MATCH(C18,'Исходные кривые'!$B$17:$L$17,1))+(C18-INDEX('Исходные кривые'!$B$17:$L$17,1,MATCH(C18,'Исходные кривые'!$B$17:$L$17,1)))*(INDEX('Исходные кривые'!$B$19:$L$19,1,MATCH(C18,'Исходные кривые'!$B$17:$L$17,1)+1)-INDEX('Исходные кривые'!$B$19:$L$19,1,MATCH(C18,'Исходные кривые'!$B$17:$L$17,1)))/(INDEX('Исходные кривые'!$B$17:$L$17,1,MATCH(C18,'Исходные кривые'!$B$17:$L$17,1)+1)-INDEX('Исходные кривые'!$B$17:$L$17,1,MATCH(C18,'Исходные кривые'!$B$17:$L$17,1)))))</f>
        <v>-2.3112328767123285</v>
      </c>
    </row>
    <row r="19" spans="1:9">
      <c r="A19" s="9">
        <v>48052</v>
      </c>
      <c r="B19" s="11">
        <f>A19-Настройки!$B$4</f>
        <v>1849</v>
      </c>
      <c r="C19" s="12">
        <f>B19/Настройки!$B$5</f>
        <v>5.065753424657534</v>
      </c>
      <c r="D19" s="12">
        <f>IF(C19&lt;=MIN('Исходные кривые'!$B$4:$L$4),INDEX('Исходные кривые'!$B$5:$L$5,1,1),IF(C19&gt;=MAX('Исходные кривые'!$B$4:$L$4),INDEX('Исходные кривые'!$B$5:$L$5,1,COLUMNS('Исходные кривые'!$B$5:$L$5)),INDEX('Исходные кривые'!$B$5:$L$5,1,MATCH(C19,'Исходные кривые'!$B$4:$L$4,1))+(C19-INDEX('Исходные кривые'!$B$4:$L$4,1,MATCH(C19,'Исходные кривые'!$B$4:$L$4,1)))*(INDEX('Исходные кривые'!$B$5:$L$5,1,MATCH(C19,'Исходные кривые'!$B$4:$L$4,1)+1)-INDEX('Исходные кривые'!$B$5:$L$5,1,MATCH(C19,'Исходные кривые'!$B$4:$L$4,1)))/(INDEX('Исходные кривые'!$B$4:$L$4,1,MATCH(C19,'Исходные кривые'!$B$4:$L$4,1)+1)-INDEX('Исходные кривые'!$B$4:$L$4,1,MATCH(C19,'Исходные кривые'!$B$4:$L$4,1)))))</f>
        <v>15.438410958904109</v>
      </c>
      <c r="E19" s="12">
        <f>IF(C19&lt;=MIN('Исходные кривые'!$B$8:$N$8),INDEX('Исходные кривые'!$B$9:$N$9,1,1),IF(C19&gt;=MAX('Исходные кривые'!$B$8:$N$8),INDEX('Исходные кривые'!$B$9:$N$9,1,COLUMNS('Исходные кривые'!$B$9:$N$9)),INDEX('Исходные кривые'!$B$9:$N$9,1,MATCH(C19,'Исходные кривые'!$B$8:$N$8,1))+(C19-INDEX('Исходные кривые'!$B$8:$N$8,1,MATCH(C19,'Исходные кривые'!$B$8:$N$8,1)))*(INDEX('Исходные кривые'!$B$9:$N$9,1,MATCH(C19,'Исходные кривые'!$B$8:$N$8,1)+1)-INDEX('Исходные кривые'!$B$9:$N$9,1,MATCH(C19,'Исходные кривые'!$B$8:$N$8,1)))/(INDEX('Исходные кривые'!$B$8:$N$8,1,MATCH(C19,'Исходные кривые'!$B$8:$N$8,1)+1)-INDEX('Исходные кривые'!$B$8:$N$8,1,MATCH(C19,'Исходные кривые'!$B$8:$N$8,1)))))</f>
        <v>17.438410958904111</v>
      </c>
      <c r="F19" s="12">
        <f>IF(C19&lt;=MIN('Исходные кривые'!$B$12:$K$12),INDEX('Исходные кривые'!$B$13:$K$13,1,1),IF(C19&gt;=MAX('Исходные кривые'!$B$12:$K$12),INDEX('Исходные кривые'!$B$13:$K$13,1,COLUMNS('Исходные кривые'!$B$13:$K$13)),INDEX('Исходные кривые'!$B$13:$K$13,1,MATCH(C19,'Исходные кривые'!$B$12:$K$12,1))+(C19-INDEX('Исходные кривые'!$B$12:$K$12,1,MATCH(C19,'Исходные кривые'!$B$12:$K$12,1)))*(INDEX('Исходные кривые'!$B$13:$K$13,1,MATCH(C19,'Исходные кривые'!$B$12:$K$12,1)+1)-INDEX('Исходные кривые'!$B$13:$K$13,1,MATCH(C19,'Исходные кривые'!$B$12:$K$12,1)))/(INDEX('Исходные кривые'!$B$12:$K$12,1,MATCH(C19,'Исходные кривые'!$B$12:$K$12,1)+1)-INDEX('Исходные кривые'!$B$12:$K$12,1,MATCH(C19,'Исходные кривые'!$B$12:$K$12,1)))))</f>
        <v>47.802739726027397</v>
      </c>
      <c r="G19" s="12">
        <f>IF(C19&lt;=MIN('Исходные кривые'!$B$12:$K$12),INDEX('Исходные кривые'!$B$14:$K$14,1,1),IF(C19&gt;=MAX('Исходные кривые'!$B$12:$K$12),INDEX('Исходные кривые'!$B$14:$K$14,1,COLUMNS('Исходные кривые'!$B$14:$K$14)),INDEX('Исходные кривые'!$B$14:$K$14,1,MATCH(C19,'Исходные кривые'!$B$12:$K$12,1))+(C19-INDEX('Исходные кривые'!$B$12:$K$12,1,MATCH(C19,'Исходные кривые'!$B$12:$K$12,1)))*(INDEX('Исходные кривые'!$B$14:$K$14,1,MATCH(C19,'Исходные кривые'!$B$12:$K$12,1)+1)-INDEX('Исходные кривые'!$B$14:$K$14,1,MATCH(C19,'Исходные кривые'!$B$12:$K$12,1)))/(INDEX('Исходные кривые'!$B$12:$K$12,1,MATCH(C19,'Исходные кривые'!$B$12:$K$12,1)+1)-INDEX('Исходные кривые'!$B$12:$K$12,1,MATCH(C19,'Исходные кривые'!$B$12:$K$12,1)))))</f>
        <v>-26.967123287671232</v>
      </c>
      <c r="H19" s="12">
        <f>IF(C19&lt;=MIN('Исходные кривые'!$B$17:$L$17),INDEX('Исходные кривые'!$B$18:$L$18,1,1),IF(C19&gt;=MAX('Исходные кривые'!$B$17:$L$17),INDEX('Исходные кривые'!$B$18:$L$18,1,COLUMNS('Исходные кривые'!$B$18:$L$18)),INDEX('Исходные кривые'!$B$18:$L$18,1,MATCH(C19,'Исходные кривые'!$B$17:$L$17,1))+(C19-INDEX('Исходные кривые'!$B$17:$L$17,1,MATCH(C19,'Исходные кривые'!$B$17:$L$17,1)))*(INDEX('Исходные кривые'!$B$18:$L$18,1,MATCH(C19,'Исходные кривые'!$B$17:$L$17,1)+1)-INDEX('Исходные кривые'!$B$18:$L$18,1,MATCH(C19,'Исходные кривые'!$B$17:$L$17,1)))/(INDEX('Исходные кривые'!$B$17:$L$17,1,MATCH(C19,'Исходные кривые'!$B$17:$L$17,1)+1)-INDEX('Исходные кривые'!$B$17:$L$17,1,MATCH(C19,'Исходные кривые'!$B$17:$L$17,1)))))</f>
        <v>5.4</v>
      </c>
      <c r="I19" s="12">
        <f>IF(C19&lt;=MIN('Исходные кривые'!$B$17:$L$17),INDEX('Исходные кривые'!$B$19:$L$19,1,1),IF(C19&gt;=MAX('Исходные кривые'!$B$17:$L$17),INDEX('Исходные кривые'!$B$19:$L$19,1,COLUMNS('Исходные кривые'!$B$19:$L$19)),INDEX('Исходные кривые'!$B$19:$L$19,1,MATCH(C19,'Исходные кривые'!$B$17:$L$17,1))+(C19-INDEX('Исходные кривые'!$B$17:$L$17,1,MATCH(C19,'Исходные кривые'!$B$17:$L$17,1)))*(INDEX('Исходные кривые'!$B$19:$L$19,1,MATCH(C19,'Исходные кривые'!$B$17:$L$17,1)+1)-INDEX('Исходные кривые'!$B$19:$L$19,1,MATCH(C19,'Исходные кривые'!$B$17:$L$17,1)))/(INDEX('Исходные кривые'!$B$17:$L$17,1,MATCH(C19,'Исходные кривые'!$B$17:$L$17,1)+1)-INDEX('Исходные кривые'!$B$17:$L$17,1,MATCH(C19,'Исходные кривые'!$B$17:$L$17,1)))))</f>
        <v>-1.9</v>
      </c>
    </row>
    <row r="20" spans="1:9" ht="14.4" thickBot="1">
      <c r="A20" s="19">
        <v>46692</v>
      </c>
      <c r="B20" s="25">
        <f>A20-Настройки!$B$4</f>
        <v>489</v>
      </c>
      <c r="C20" s="26">
        <f>B20/Настройки!$B$5</f>
        <v>1.3397260273972602</v>
      </c>
      <c r="D20" s="26">
        <f>IF(C20&lt;=MIN('Исходные кривые'!$B$4:$L$4),INDEX('Исходные кривые'!$B$5:$L$5,1,1),IF(C20&gt;=MAX('Исходные кривые'!$B$4:$L$4),INDEX('Исходные кривые'!$B$5:$L$5,1,COLUMNS('Исходные кривые'!$B$5:$L$5)),INDEX('Исходные кривые'!$B$5:$L$5,1,MATCH(C20,'Исходные кривые'!$B$4:$L$4,1))+(C20-INDEX('Исходные кривые'!$B$4:$L$4,1,MATCH(C20,'Исходные кривые'!$B$4:$L$4,1)))*(INDEX('Исходные кривые'!$B$5:$L$5,1,MATCH(C20,'Исходные кривые'!$B$4:$L$4,1)+1)-INDEX('Исходные кривые'!$B$5:$L$5,1,MATCH(C20,'Исходные кривые'!$B$4:$L$4,1)))/(INDEX('Исходные кривые'!$B$4:$L$4,1,MATCH(C20,'Исходные кривые'!$B$4:$L$4,1)+1)-INDEX('Исходные кривые'!$B$4:$L$4,1,MATCH(C20,'Исходные кривые'!$B$4:$L$4,1)))))</f>
        <v>13.56627397260274</v>
      </c>
      <c r="E20" s="26">
        <f>IF(C20&lt;=MIN('Исходные кривые'!$B$8:$N$8),INDEX('Исходные кривые'!$B$9:$N$9,1,1),IF(C20&gt;=MAX('Исходные кривые'!$B$8:$N$8),INDEX('Исходные кривые'!$B$9:$N$9,1,COLUMNS('Исходные кривые'!$B$9:$N$9)),INDEX('Исходные кривые'!$B$9:$N$9,1,MATCH(C20,'Исходные кривые'!$B$8:$N$8,1))+(C20-INDEX('Исходные кривые'!$B$8:$N$8,1,MATCH(C20,'Исходные кривые'!$B$8:$N$8,1)))*(INDEX('Исходные кривые'!$B$9:$N$9,1,MATCH(C20,'Исходные кривые'!$B$8:$N$8,1)+1)-INDEX('Исходные кривые'!$B$9:$N$9,1,MATCH(C20,'Исходные кривые'!$B$8:$N$8,1)))/(INDEX('Исходные кривые'!$B$8:$N$8,1,MATCH(C20,'Исходные кривые'!$B$8:$N$8,1)+1)-INDEX('Исходные кривые'!$B$8:$N$8,1,MATCH(C20,'Исходные кривые'!$B$8:$N$8,1)))))</f>
        <v>15.56627397260274</v>
      </c>
      <c r="F20" s="26">
        <f>IF(C20&lt;=MIN('Исходные кривые'!$B$12:$K$12),INDEX('Исходные кривые'!$B$13:$K$13,1,1),IF(C20&gt;=MAX('Исходные кривые'!$B$12:$K$12),INDEX('Исходные кривые'!$B$13:$K$13,1,COLUMNS('Исходные кривые'!$B$13:$K$13)),INDEX('Исходные кривые'!$B$13:$K$13,1,MATCH(C20,'Исходные кривые'!$B$12:$K$12,1))+(C20-INDEX('Исходные кривые'!$B$12:$K$12,1,MATCH(C20,'Исходные кривые'!$B$12:$K$12,1)))*(INDEX('Исходные кривые'!$B$13:$K$13,1,MATCH(C20,'Исходные кривые'!$B$12:$K$12,1)+1)-INDEX('Исходные кривые'!$B$13:$K$13,1,MATCH(C20,'Исходные кривые'!$B$12:$K$12,1)))/(INDEX('Исходные кривые'!$B$12:$K$12,1,MATCH(C20,'Исходные кривые'!$B$12:$K$12,1)+1)-INDEX('Исходные кривые'!$B$12:$K$12,1,MATCH(C20,'Исходные кривые'!$B$12:$K$12,1)))))</f>
        <v>56.980821917808221</v>
      </c>
      <c r="G20" s="26">
        <f>IF(C20&lt;=MIN('Исходные кривые'!$B$12:$K$12),INDEX('Исходные кривые'!$B$14:$K$14,1,1),IF(C20&gt;=MAX('Исходные кривые'!$B$12:$K$12),INDEX('Исходные кривые'!$B$14:$K$14,1,COLUMNS('Исходные кривые'!$B$14:$K$14)),INDEX('Исходные кривые'!$B$14:$K$14,1,MATCH(C20,'Исходные кривые'!$B$12:$K$12,1))+(C20-INDEX('Исходные кривые'!$B$12:$K$12,1,MATCH(C20,'Исходные кривые'!$B$12:$K$12,1)))*(INDEX('Исходные кривые'!$B$14:$K$14,1,MATCH(C20,'Исходные кривые'!$B$12:$K$12,1)+1)-INDEX('Исходные кривые'!$B$14:$K$14,1,MATCH(C20,'Исходные кривые'!$B$12:$K$12,1)))/(INDEX('Исходные кривые'!$B$12:$K$12,1,MATCH(C20,'Исходные кривые'!$B$12:$K$12,1)+1)-INDEX('Исходные кривые'!$B$12:$K$12,1,MATCH(C20,'Исходные кривые'!$B$12:$K$12,1)))))</f>
        <v>-30.32054794520548</v>
      </c>
      <c r="H20" s="26">
        <f>IF(C20&lt;=MIN('Исходные кривые'!$B$17:$L$17),INDEX('Исходные кривые'!$B$18:$L$18,1,1),IF(C20&gt;=MAX('Исходные кривые'!$B$17:$L$17),INDEX('Исходные кривые'!$B$18:$L$18,1,COLUMNS('Исходные кривые'!$B$18:$L$18)),INDEX('Исходные кривые'!$B$18:$L$18,1,MATCH(C20,'Исходные кривые'!$B$17:$L$17,1))+(C20-INDEX('Исходные кривые'!$B$17:$L$17,1,MATCH(C20,'Исходные кривые'!$B$17:$L$17,1)))*(INDEX('Исходные кривые'!$B$18:$L$18,1,MATCH(C20,'Исходные кривые'!$B$17:$L$17,1)+1)-INDEX('Исходные кривые'!$B$18:$L$18,1,MATCH(C20,'Исходные кривые'!$B$17:$L$17,1)))/(INDEX('Исходные кривые'!$B$17:$L$17,1,MATCH(C20,'Исходные кривые'!$B$17:$L$17,1)+1)-INDEX('Исходные кривые'!$B$17:$L$17,1,MATCH(C20,'Исходные кривые'!$B$17:$L$17,1)))))</f>
        <v>6.4246575342465757</v>
      </c>
      <c r="I20" s="26">
        <f>IF(C20&lt;=MIN('Исходные кривые'!$B$17:$L$17),INDEX('Исходные кривые'!$B$19:$L$19,1,1),IF(C20&gt;=MAX('Исходные кривые'!$B$17:$L$17),INDEX('Исходные кривые'!$B$19:$L$19,1,COLUMNS('Исходные кривые'!$B$19:$L$19)),INDEX('Исходные кривые'!$B$19:$L$19,1,MATCH(C20,'Исходные кривые'!$B$17:$L$17,1))+(C20-INDEX('Исходные кривые'!$B$17:$L$17,1,MATCH(C20,'Исходные кривые'!$B$17:$L$17,1)))*(INDEX('Исходные кривые'!$B$19:$L$19,1,MATCH(C20,'Исходные кривые'!$B$17:$L$17,1)+1)-INDEX('Исходные кривые'!$B$19:$L$19,1,MATCH(C20,'Исходные кривые'!$B$17:$L$17,1)))/(INDEX('Исходные кривые'!$B$17:$L$17,1,MATCH(C20,'Исходные кривые'!$B$17:$L$17,1)+1)-INDEX('Исходные кривые'!$B$17:$L$17,1,MATCH(C20,'Исходные кривые'!$B$17:$L$17,1)))))</f>
        <v>-4.8980821917808219</v>
      </c>
    </row>
    <row r="21" spans="1:9">
      <c r="A21" s="21">
        <v>46784</v>
      </c>
      <c r="B21" s="23">
        <f>A21-Настройки!$B$4</f>
        <v>581</v>
      </c>
      <c r="C21" s="24">
        <f>B21/Настройки!$B$5</f>
        <v>1.5917808219178082</v>
      </c>
      <c r="D21" s="24">
        <f>IF(C21&lt;=MIN('Исходные кривые'!$B$4:$L$4),INDEX('Исходные кривые'!$B$5:$L$5,1,1),IF(C21&gt;=MAX('Исходные кривые'!$B$4:$L$4),INDEX('Исходные кривые'!$B$5:$L$5,1,COLUMNS('Исходные кривые'!$B$5:$L$5)),INDEX('Исходные кривые'!$B$5:$L$5,1,MATCH(C21,'Исходные кривые'!$B$4:$L$4,1))+(C21-INDEX('Исходные кривые'!$B$4:$L$4,1,MATCH(C21,'Исходные кривые'!$B$4:$L$4,1)))*(INDEX('Исходные кривые'!$B$5:$L$5,1,MATCH(C21,'Исходные кривые'!$B$4:$L$4,1)+1)-INDEX('Исходные кривые'!$B$5:$L$5,1,MATCH(C21,'Исходные кривые'!$B$4:$L$4,1)))/(INDEX('Исходные кривые'!$B$4:$L$4,1,MATCH(C21,'Исходные кривые'!$B$4:$L$4,1)+1)-INDEX('Исходные кривые'!$B$4:$L$4,1,MATCH(C21,'Исходные кривые'!$B$4:$L$4,1)))))</f>
        <v>13.682219178082191</v>
      </c>
      <c r="E21" s="24">
        <f>IF(C21&lt;=MIN('Исходные кривые'!$B$8:$N$8),INDEX('Исходные кривые'!$B$9:$N$9,1,1),IF(C21&gt;=MAX('Исходные кривые'!$B$8:$N$8),INDEX('Исходные кривые'!$B$9:$N$9,1,COLUMNS('Исходные кривые'!$B$9:$N$9)),INDEX('Исходные кривые'!$B$9:$N$9,1,MATCH(C21,'Исходные кривые'!$B$8:$N$8,1))+(C21-INDEX('Исходные кривые'!$B$8:$N$8,1,MATCH(C21,'Исходные кривые'!$B$8:$N$8,1)))*(INDEX('Исходные кривые'!$B$9:$N$9,1,MATCH(C21,'Исходные кривые'!$B$8:$N$8,1)+1)-INDEX('Исходные кривые'!$B$9:$N$9,1,MATCH(C21,'Исходные кривые'!$B$8:$N$8,1)))/(INDEX('Исходные кривые'!$B$8:$N$8,1,MATCH(C21,'Исходные кривые'!$B$8:$N$8,1)+1)-INDEX('Исходные кривые'!$B$8:$N$8,1,MATCH(C21,'Исходные кривые'!$B$8:$N$8,1)))))</f>
        <v>15.682219178082191</v>
      </c>
      <c r="F21" s="24">
        <f>IF(C21&lt;=MIN('Исходные кривые'!$B$12:$K$12),INDEX('Исходные кривые'!$B$13:$K$13,1,1),IF(C21&gt;=MAX('Исходные кривые'!$B$12:$K$12),INDEX('Исходные кривые'!$B$13:$K$13,1,COLUMNS('Исходные кривые'!$B$13:$K$13)),INDEX('Исходные кривые'!$B$13:$K$13,1,MATCH(C21,'Исходные кривые'!$B$12:$K$12,1))+(C21-INDEX('Исходные кривые'!$B$12:$K$12,1,MATCH(C21,'Исходные кривые'!$B$12:$K$12,1)))*(INDEX('Исходные кривые'!$B$13:$K$13,1,MATCH(C21,'Исходные кривые'!$B$12:$K$12,1)+1)-INDEX('Исходные кривые'!$B$13:$K$13,1,MATCH(C21,'Исходные кривые'!$B$12:$K$12,1)))/(INDEX('Исходные кривые'!$B$12:$K$12,1,MATCH(C21,'Исходные кривые'!$B$12:$K$12,1)+1)-INDEX('Исходные кривые'!$B$12:$K$12,1,MATCH(C21,'Исходные кривые'!$B$12:$K$12,1)))))</f>
        <v>56.224657534246575</v>
      </c>
      <c r="G21" s="24">
        <f>IF(C21&lt;=MIN('Исходные кривые'!$B$12:$K$12),INDEX('Исходные кривые'!$B$14:$K$14,1,1),IF(C21&gt;=MAX('Исходные кривые'!$B$12:$K$12),INDEX('Исходные кривые'!$B$14:$K$14,1,COLUMNS('Исходные кривые'!$B$14:$K$14)),INDEX('Исходные кривые'!$B$14:$K$14,1,MATCH(C21,'Исходные кривые'!$B$12:$K$12,1))+(C21-INDEX('Исходные кривые'!$B$12:$K$12,1,MATCH(C21,'Исходные кривые'!$B$12:$K$12,1)))*(INDEX('Исходные кривые'!$B$14:$K$14,1,MATCH(C21,'Исходные кривые'!$B$12:$K$12,1)+1)-INDEX('Исходные кривые'!$B$14:$K$14,1,MATCH(C21,'Исходные кривые'!$B$12:$K$12,1)))/(INDEX('Исходные кривые'!$B$12:$K$12,1,MATCH(C21,'Исходные кривые'!$B$12:$K$12,1)+1)-INDEX('Исходные кривые'!$B$12:$K$12,1,MATCH(C21,'Исходные кривые'!$B$12:$K$12,1)))))</f>
        <v>-29.816438356164383</v>
      </c>
      <c r="H21" s="24">
        <f>IF(C21&lt;=MIN('Исходные кривые'!$B$17:$L$17),INDEX('Исходные кривые'!$B$18:$L$18,1,1),IF(C21&gt;=MAX('Исходные кривые'!$B$17:$L$17),INDEX('Исходные кривые'!$B$18:$L$18,1,COLUMNS('Исходные кривые'!$B$18:$L$18)),INDEX('Исходные кривые'!$B$18:$L$18,1,MATCH(C21,'Исходные кривые'!$B$17:$L$17,1))+(C21-INDEX('Исходные кривые'!$B$17:$L$17,1,MATCH(C21,'Исходные кривые'!$B$17:$L$17,1)))*(INDEX('Исходные кривые'!$B$18:$L$18,1,MATCH(C21,'Исходные кривые'!$B$17:$L$17,1)+1)-INDEX('Исходные кривые'!$B$18:$L$18,1,MATCH(C21,'Исходные кривые'!$B$17:$L$17,1)))/(INDEX('Исходные кривые'!$B$17:$L$17,1,MATCH(C21,'Исходные кривые'!$B$17:$L$17,1)+1)-INDEX('Исходные кривые'!$B$17:$L$17,1,MATCH(C21,'Исходные кривые'!$B$17:$L$17,1)))))</f>
        <v>6.7397260273972606</v>
      </c>
      <c r="I21" s="24">
        <f>IF(C21&lt;=MIN('Исходные кривые'!$B$17:$L$17),INDEX('Исходные кривые'!$B$19:$L$19,1,1),IF(C21&gt;=MAX('Исходные кривые'!$B$17:$L$17),INDEX('Исходные кривые'!$B$19:$L$19,1,COLUMNS('Исходные кривые'!$B$19:$L$19)),INDEX('Исходные кривые'!$B$19:$L$19,1,MATCH(C21,'Исходные кривые'!$B$17:$L$17,1))+(C21-INDEX('Исходные кривые'!$B$17:$L$17,1,MATCH(C21,'Исходные кривые'!$B$17:$L$17,1)))*(INDEX('Исходные кривые'!$B$19:$L$19,1,MATCH(C21,'Исходные кривые'!$B$17:$L$17,1)+1)-INDEX('Исходные кривые'!$B$19:$L$19,1,MATCH(C21,'Исходные кривые'!$B$17:$L$17,1)))/(INDEX('Исходные кривые'!$B$17:$L$17,1,MATCH(C21,'Исходные кривые'!$B$17:$L$17,1)+1)-INDEX('Исходные кривые'!$B$17:$L$17,1,MATCH(C21,'Исходные кривые'!$B$17:$L$17,1)))))</f>
        <v>-4.822465753424658</v>
      </c>
    </row>
    <row r="22" spans="1:9">
      <c r="A22" s="19">
        <v>46875</v>
      </c>
      <c r="B22" s="25">
        <f>A22-Настройки!$B$4</f>
        <v>672</v>
      </c>
      <c r="C22" s="26">
        <f>B22/Настройки!$B$5</f>
        <v>1.8410958904109589</v>
      </c>
      <c r="D22" s="26">
        <f>IF(C22&lt;=MIN('Исходные кривые'!$B$4:$L$4),INDEX('Исходные кривые'!$B$5:$L$5,1,1),IF(C22&gt;=MAX('Исходные кривые'!$B$4:$L$4),INDEX('Исходные кривые'!$B$5:$L$5,1,COLUMNS('Исходные кривые'!$B$5:$L$5)),INDEX('Исходные кривые'!$B$5:$L$5,1,MATCH(C22,'Исходные кривые'!$B$4:$L$4,1))+(C22-INDEX('Исходные кривые'!$B$4:$L$4,1,MATCH(C22,'Исходные кривые'!$B$4:$L$4,1)))*(INDEX('Исходные кривые'!$B$5:$L$5,1,MATCH(C22,'Исходные кривые'!$B$4:$L$4,1)+1)-INDEX('Исходные кривые'!$B$5:$L$5,1,MATCH(C22,'Исходные кривые'!$B$4:$L$4,1)))/(INDEX('Исходные кривые'!$B$4:$L$4,1,MATCH(C22,'Исходные кривые'!$B$4:$L$4,1)+1)-INDEX('Исходные кривые'!$B$4:$L$4,1,MATCH(C22,'Исходные кривые'!$B$4:$L$4,1)))))</f>
        <v>13.79690410958904</v>
      </c>
      <c r="E22" s="26">
        <f>IF(C22&lt;=MIN('Исходные кривые'!$B$8:$N$8),INDEX('Исходные кривые'!$B$9:$N$9,1,1),IF(C22&gt;=MAX('Исходные кривые'!$B$8:$N$8),INDEX('Исходные кривые'!$B$9:$N$9,1,COLUMNS('Исходные кривые'!$B$9:$N$9)),INDEX('Исходные кривые'!$B$9:$N$9,1,MATCH(C22,'Исходные кривые'!$B$8:$N$8,1))+(C22-INDEX('Исходные кривые'!$B$8:$N$8,1,MATCH(C22,'Исходные кривые'!$B$8:$N$8,1)))*(INDEX('Исходные кривые'!$B$9:$N$9,1,MATCH(C22,'Исходные кривые'!$B$8:$N$8,1)+1)-INDEX('Исходные кривые'!$B$9:$N$9,1,MATCH(C22,'Исходные кривые'!$B$8:$N$8,1)))/(INDEX('Исходные кривые'!$B$8:$N$8,1,MATCH(C22,'Исходные кривые'!$B$8:$N$8,1)+1)-INDEX('Исходные кривые'!$B$8:$N$8,1,MATCH(C22,'Исходные кривые'!$B$8:$N$8,1)))))</f>
        <v>15.79690410958904</v>
      </c>
      <c r="F22" s="26">
        <f>IF(C22&lt;=MIN('Исходные кривые'!$B$12:$K$12),INDEX('Исходные кривые'!$B$13:$K$13,1,1),IF(C22&gt;=MAX('Исходные кривые'!$B$12:$K$12),INDEX('Исходные кривые'!$B$13:$K$13,1,COLUMNS('Исходные кривые'!$B$13:$K$13)),INDEX('Исходные кривые'!$B$13:$K$13,1,MATCH(C22,'Исходные кривые'!$B$12:$K$12,1))+(C22-INDEX('Исходные кривые'!$B$12:$K$12,1,MATCH(C22,'Исходные кривые'!$B$12:$K$12,1)))*(INDEX('Исходные кривые'!$B$13:$K$13,1,MATCH(C22,'Исходные кривые'!$B$12:$K$12,1)+1)-INDEX('Исходные кривые'!$B$13:$K$13,1,MATCH(C22,'Исходные кривые'!$B$12:$K$12,1)))/(INDEX('Исходные кривые'!$B$12:$K$12,1,MATCH(C22,'Исходные кривые'!$B$12:$K$12,1)+1)-INDEX('Исходные кривые'!$B$12:$K$12,1,MATCH(C22,'Исходные кривые'!$B$12:$K$12,1)))))</f>
        <v>55.476712328767121</v>
      </c>
      <c r="G22" s="26">
        <f>IF(C22&lt;=MIN('Исходные кривые'!$B$12:$K$12),INDEX('Исходные кривые'!$B$14:$K$14,1,1),IF(C22&gt;=MAX('Исходные кривые'!$B$12:$K$12),INDEX('Исходные кривые'!$B$14:$K$14,1,COLUMNS('Исходные кривые'!$B$14:$K$14)),INDEX('Исходные кривые'!$B$14:$K$14,1,MATCH(C22,'Исходные кривые'!$B$12:$K$12,1))+(C22-INDEX('Исходные кривые'!$B$12:$K$12,1,MATCH(C22,'Исходные кривые'!$B$12:$K$12,1)))*(INDEX('Исходные кривые'!$B$14:$K$14,1,MATCH(C22,'Исходные кривые'!$B$12:$K$12,1)+1)-INDEX('Исходные кривые'!$B$14:$K$14,1,MATCH(C22,'Исходные кривые'!$B$12:$K$12,1)))/(INDEX('Исходные кривые'!$B$12:$K$12,1,MATCH(C22,'Исходные кривые'!$B$12:$K$12,1)+1)-INDEX('Исходные кривые'!$B$12:$K$12,1,MATCH(C22,'Исходные кривые'!$B$12:$K$12,1)))))</f>
        <v>-29.317808219178083</v>
      </c>
      <c r="H22" s="26">
        <f>IF(C22&lt;=MIN('Исходные кривые'!$B$17:$L$17),INDEX('Исходные кривые'!$B$18:$L$18,1,1),IF(C22&gt;=MAX('Исходные кривые'!$B$17:$L$17),INDEX('Исходные кривые'!$B$18:$L$18,1,COLUMNS('Исходные кривые'!$B$18:$L$18)),INDEX('Исходные кривые'!$B$18:$L$18,1,MATCH(C22,'Исходные кривые'!$B$17:$L$17,1))+(C22-INDEX('Исходные кривые'!$B$17:$L$17,1,MATCH(C22,'Исходные кривые'!$B$17:$L$17,1)))*(INDEX('Исходные кривые'!$B$18:$L$18,1,MATCH(C22,'Исходные кривые'!$B$17:$L$17,1)+1)-INDEX('Исходные кривые'!$B$18:$L$18,1,MATCH(C22,'Исходные кривые'!$B$17:$L$17,1)))/(INDEX('Исходные кривые'!$B$17:$L$17,1,MATCH(C22,'Исходные кривые'!$B$17:$L$17,1)+1)-INDEX('Исходные кривые'!$B$17:$L$17,1,MATCH(C22,'Исходные кривые'!$B$17:$L$17,1)))))</f>
        <v>7.0513698630136989</v>
      </c>
      <c r="I22" s="26">
        <f>IF(C22&lt;=MIN('Исходные кривые'!$B$17:$L$17),INDEX('Исходные кривые'!$B$19:$L$19,1,1),IF(C22&gt;=MAX('Исходные кривые'!$B$17:$L$17),INDEX('Исходные кривые'!$B$19:$L$19,1,COLUMNS('Исходные кривые'!$B$19:$L$19)),INDEX('Исходные кривые'!$B$19:$L$19,1,MATCH(C22,'Исходные кривые'!$B$17:$L$17,1))+(C22-INDEX('Исходные кривые'!$B$17:$L$17,1,MATCH(C22,'Исходные кривые'!$B$17:$L$17,1)))*(INDEX('Исходные кривые'!$B$19:$L$19,1,MATCH(C22,'Исходные кривые'!$B$17:$L$17,1)+1)-INDEX('Исходные кривые'!$B$19:$L$19,1,MATCH(C22,'Исходные кривые'!$B$17:$L$17,1)))/(INDEX('Исходные кривые'!$B$17:$L$17,1,MATCH(C22,'Исходные кривые'!$B$17:$L$17,1)+1)-INDEX('Исходные кривые'!$B$17:$L$17,1,MATCH(C22,'Исходные кривые'!$B$17:$L$17,1)))))</f>
        <v>-4.7476712328767121</v>
      </c>
    </row>
    <row r="23" spans="1:9">
      <c r="A23" s="19">
        <v>46966</v>
      </c>
      <c r="B23" s="25">
        <f>A23-Настройки!$B$4</f>
        <v>763</v>
      </c>
      <c r="C23" s="26">
        <f>B23/Настройки!$B$5</f>
        <v>2.0904109589041098</v>
      </c>
      <c r="D23" s="26">
        <f>IF(C23&lt;=MIN('Исходные кривые'!$B$4:$L$4),INDEX('Исходные кривые'!$B$5:$L$5,1,1),IF(C23&gt;=MAX('Исходные кривые'!$B$4:$L$4),INDEX('Исходные кривые'!$B$5:$L$5,1,COLUMNS('Исходные кривые'!$B$5:$L$5)),INDEX('Исходные кривые'!$B$5:$L$5,1,MATCH(C23,'Исходные кривые'!$B$4:$L$4,1))+(C23-INDEX('Исходные кривые'!$B$4:$L$4,1,MATCH(C23,'Исходные кривые'!$B$4:$L$4,1)))*(INDEX('Исходные кривые'!$B$5:$L$5,1,MATCH(C23,'Исходные кривые'!$B$4:$L$4,1)+1)-INDEX('Исходные кривые'!$B$5:$L$5,1,MATCH(C23,'Исходные кривые'!$B$4:$L$4,1)))/(INDEX('Исходные кривые'!$B$4:$L$4,1,MATCH(C23,'Исходные кривые'!$B$4:$L$4,1)+1)-INDEX('Исходные кривые'!$B$4:$L$4,1,MATCH(C23,'Исходные кривые'!$B$4:$L$4,1)))))</f>
        <v>13.924246575342465</v>
      </c>
      <c r="E23" s="26">
        <f>IF(C23&lt;=MIN('Исходные кривые'!$B$8:$N$8),INDEX('Исходные кривые'!$B$9:$N$9,1,1),IF(C23&gt;=MAX('Исходные кривые'!$B$8:$N$8),INDEX('Исходные кривые'!$B$9:$N$9,1,COLUMNS('Исходные кривые'!$B$9:$N$9)),INDEX('Исходные кривые'!$B$9:$N$9,1,MATCH(C23,'Исходные кривые'!$B$8:$N$8,1))+(C23-INDEX('Исходные кривые'!$B$8:$N$8,1,MATCH(C23,'Исходные кривые'!$B$8:$N$8,1)))*(INDEX('Исходные кривые'!$B$9:$N$9,1,MATCH(C23,'Исходные кривые'!$B$8:$N$8,1)+1)-INDEX('Исходные кривые'!$B$9:$N$9,1,MATCH(C23,'Исходные кривые'!$B$8:$N$8,1)))/(INDEX('Исходные кривые'!$B$8:$N$8,1,MATCH(C23,'Исходные кривые'!$B$8:$N$8,1)+1)-INDEX('Исходные кривые'!$B$8:$N$8,1,MATCH(C23,'Исходные кривые'!$B$8:$N$8,1)))))</f>
        <v>15.924246575342465</v>
      </c>
      <c r="F23" s="26">
        <f>IF(C23&lt;=MIN('Исходные кривые'!$B$12:$K$12),INDEX('Исходные кривые'!$B$13:$K$13,1,1),IF(C23&gt;=MAX('Исходные кривые'!$B$12:$K$12),INDEX('Исходные кривые'!$B$13:$K$13,1,COLUMNS('Исходные кривые'!$B$13:$K$13)),INDEX('Исходные кривые'!$B$13:$K$13,1,MATCH(C23,'Исходные кривые'!$B$12:$K$12,1))+(C23-INDEX('Исходные кривые'!$B$12:$K$12,1,MATCH(C23,'Исходные кривые'!$B$12:$K$12,1)))*(INDEX('Исходные кривые'!$B$13:$K$13,1,MATCH(C23,'Исходные кривые'!$B$12:$K$12,1)+1)-INDEX('Исходные кривые'!$B$13:$K$13,1,MATCH(C23,'Исходные кривые'!$B$12:$K$12,1)))/(INDEX('Исходные кривые'!$B$12:$K$12,1,MATCH(C23,'Исходные кривые'!$B$12:$K$12,1)+1)-INDEX('Исходные кривые'!$B$12:$K$12,1,MATCH(C23,'Исходные кривые'!$B$12:$K$12,1)))))</f>
        <v>54.909589041095892</v>
      </c>
      <c r="G23" s="26">
        <f>IF(C23&lt;=MIN('Исходные кривые'!$B$12:$K$12),INDEX('Исходные кривые'!$B$14:$K$14,1,1),IF(C23&gt;=MAX('Исходные кривые'!$B$12:$K$12),INDEX('Исходные кривые'!$B$14:$K$14,1,COLUMNS('Исходные кривые'!$B$14:$K$14)),INDEX('Исходные кривые'!$B$14:$K$14,1,MATCH(C23,'Исходные кривые'!$B$12:$K$12,1))+(C23-INDEX('Исходные кривые'!$B$12:$K$12,1,MATCH(C23,'Исходные кривые'!$B$12:$K$12,1)))*(INDEX('Исходные кривые'!$B$14:$K$14,1,MATCH(C23,'Исходные кривые'!$B$12:$K$12,1)+1)-INDEX('Исходные кривые'!$B$14:$K$14,1,MATCH(C23,'Исходные кривые'!$B$12:$K$12,1)))/(INDEX('Исходные кривые'!$B$12:$K$12,1,MATCH(C23,'Исходные кривые'!$B$12:$K$12,1)+1)-INDEX('Исходные кривые'!$B$12:$K$12,1,MATCH(C23,'Исходные кривые'!$B$12:$K$12,1)))))</f>
        <v>-28.909589041095892</v>
      </c>
      <c r="H23" s="26">
        <f>IF(C23&lt;=MIN('Исходные кривые'!$B$17:$L$17),INDEX('Исходные кривые'!$B$18:$L$18,1,1),IF(C23&gt;=MAX('Исходные кривые'!$B$17:$L$17),INDEX('Исходные кривые'!$B$18:$L$18,1,COLUMNS('Исходные кривые'!$B$18:$L$18)),INDEX('Исходные кривые'!$B$18:$L$18,1,MATCH(C23,'Исходные кривые'!$B$17:$L$17,1))+(C23-INDEX('Исходные кривые'!$B$17:$L$17,1,MATCH(C23,'Исходные кривые'!$B$17:$L$17,1)))*(INDEX('Исходные кривые'!$B$18:$L$18,1,MATCH(C23,'Исходные кривые'!$B$17:$L$17,1)+1)-INDEX('Исходные кривые'!$B$18:$L$18,1,MATCH(C23,'Исходные кривые'!$B$17:$L$17,1)))/(INDEX('Исходные кривые'!$B$17:$L$17,1,MATCH(C23,'Исходные кривые'!$B$17:$L$17,1)+1)-INDEX('Исходные кривые'!$B$17:$L$17,1,MATCH(C23,'Исходные кривые'!$B$17:$L$17,1)))))</f>
        <v>7.1731506849315068</v>
      </c>
      <c r="I23" s="26">
        <f>IF(C23&lt;=MIN('Исходные кривые'!$B$17:$L$17),INDEX('Исходные кривые'!$B$19:$L$19,1,1),IF(C23&gt;=MAX('Исходные кривые'!$B$17:$L$17),INDEX('Исходные кривые'!$B$19:$L$19,1,COLUMNS('Исходные кривые'!$B$19:$L$19)),INDEX('Исходные кривые'!$B$19:$L$19,1,MATCH(C23,'Исходные кривые'!$B$17:$L$17,1))+(C23-INDEX('Исходные кривые'!$B$17:$L$17,1,MATCH(C23,'Исходные кривые'!$B$17:$L$17,1)))*(INDEX('Исходные кривые'!$B$19:$L$19,1,MATCH(C23,'Исходные кривые'!$B$17:$L$17,1)+1)-INDEX('Исходные кривые'!$B$19:$L$19,1,MATCH(C23,'Исходные кривые'!$B$17:$L$17,1)))/(INDEX('Исходные кривые'!$B$17:$L$17,1,MATCH(C23,'Исходные кривые'!$B$17:$L$17,1)+1)-INDEX('Исходные кривые'!$B$17:$L$17,1,MATCH(C23,'Исходные кривые'!$B$17:$L$17,1)))))</f>
        <v>-4.6050684931506849</v>
      </c>
    </row>
    <row r="24" spans="1:9">
      <c r="A24" s="19">
        <v>47057</v>
      </c>
      <c r="B24" s="25">
        <f>A24-Настройки!$B$4</f>
        <v>854</v>
      </c>
      <c r="C24" s="26">
        <f>B24/Настройки!$B$5</f>
        <v>2.3397260273972602</v>
      </c>
      <c r="D24" s="26">
        <f>IF(C24&lt;=MIN('Исходные кривые'!$B$4:$L$4),INDEX('Исходные кривые'!$B$5:$L$5,1,1),IF(C24&gt;=MAX('Исходные кривые'!$B$4:$L$4),INDEX('Исходные кривые'!$B$5:$L$5,1,COLUMNS('Исходные кривые'!$B$5:$L$5)),INDEX('Исходные кривые'!$B$5:$L$5,1,MATCH(C24,'Исходные кривые'!$B$4:$L$4,1))+(C24-INDEX('Исходные кривые'!$B$4:$L$4,1,MATCH(C24,'Исходные кривые'!$B$4:$L$4,1)))*(INDEX('Исходные кривые'!$B$5:$L$5,1,MATCH(C24,'Исходные кривые'!$B$4:$L$4,1)+1)-INDEX('Исходные кривые'!$B$5:$L$5,1,MATCH(C24,'Исходные кривые'!$B$4:$L$4,1)))/(INDEX('Исходные кривые'!$B$4:$L$4,1,MATCH(C24,'Исходные кривые'!$B$4:$L$4,1)+1)-INDEX('Исходные кривые'!$B$4:$L$4,1,MATCH(C24,'Исходные кривые'!$B$4:$L$4,1)))))</f>
        <v>14.073835616438355</v>
      </c>
      <c r="E24" s="26">
        <f>IF(C24&lt;=MIN('Исходные кривые'!$B$8:$N$8),INDEX('Исходные кривые'!$B$9:$N$9,1,1),IF(C24&gt;=MAX('Исходные кривые'!$B$8:$N$8),INDEX('Исходные кривые'!$B$9:$N$9,1,COLUMNS('Исходные кривые'!$B$9:$N$9)),INDEX('Исходные кривые'!$B$9:$N$9,1,MATCH(C24,'Исходные кривые'!$B$8:$N$8,1))+(C24-INDEX('Исходные кривые'!$B$8:$N$8,1,MATCH(C24,'Исходные кривые'!$B$8:$N$8,1)))*(INDEX('Исходные кривые'!$B$9:$N$9,1,MATCH(C24,'Исходные кривые'!$B$8:$N$8,1)+1)-INDEX('Исходные кривые'!$B$9:$N$9,1,MATCH(C24,'Исходные кривые'!$B$8:$N$8,1)))/(INDEX('Исходные кривые'!$B$8:$N$8,1,MATCH(C24,'Исходные кривые'!$B$8:$N$8,1)+1)-INDEX('Исходные кривые'!$B$8:$N$8,1,MATCH(C24,'Исходные кривые'!$B$8:$N$8,1)))))</f>
        <v>16.073835616438355</v>
      </c>
      <c r="F24" s="26">
        <f>IF(C24&lt;=MIN('Исходные кривые'!$B$12:$K$12),INDEX('Исходные кривые'!$B$13:$K$13,1,1),IF(C24&gt;=MAX('Исходные кривые'!$B$12:$K$12),INDEX('Исходные кривые'!$B$13:$K$13,1,COLUMNS('Исходные кривые'!$B$13:$K$13)),INDEX('Исходные кривые'!$B$13:$K$13,1,MATCH(C24,'Исходные кривые'!$B$12:$K$12,1))+(C24-INDEX('Исходные кривые'!$B$12:$K$12,1,MATCH(C24,'Исходные кривые'!$B$12:$K$12,1)))*(INDEX('Исходные кривые'!$B$13:$K$13,1,MATCH(C24,'Исходные кривые'!$B$12:$K$12,1)+1)-INDEX('Исходные кривые'!$B$13:$K$13,1,MATCH(C24,'Исходные кривые'!$B$12:$K$12,1)))/(INDEX('Исходные кривые'!$B$12:$K$12,1,MATCH(C24,'Исходные кривые'!$B$12:$K$12,1)+1)-INDEX('Исходные кривые'!$B$12:$K$12,1,MATCH(C24,'Исходные кривые'!$B$12:$K$12,1)))))</f>
        <v>54.660273972602738</v>
      </c>
      <c r="G24" s="26">
        <f>IF(C24&lt;=MIN('Исходные кривые'!$B$12:$K$12),INDEX('Исходные кривые'!$B$14:$K$14,1,1),IF(C24&gt;=MAX('Исходные кривые'!$B$12:$K$12),INDEX('Исходные кривые'!$B$14:$K$14,1,COLUMNS('Исходные кривые'!$B$14:$K$14)),INDEX('Исходные кривые'!$B$14:$K$14,1,MATCH(C24,'Исходные кривые'!$B$12:$K$12,1))+(C24-INDEX('Исходные кривые'!$B$12:$K$12,1,MATCH(C24,'Исходные кривые'!$B$12:$K$12,1)))*(INDEX('Исходные кривые'!$B$14:$K$14,1,MATCH(C24,'Исходные кривые'!$B$12:$K$12,1)+1)-INDEX('Исходные кривые'!$B$14:$K$14,1,MATCH(C24,'Исходные кривые'!$B$12:$K$12,1)))/(INDEX('Исходные кривые'!$B$12:$K$12,1,MATCH(C24,'Исходные кривые'!$B$12:$K$12,1)+1)-INDEX('Исходные кривые'!$B$12:$K$12,1,MATCH(C24,'Исходные кривые'!$B$12:$K$12,1)))))</f>
        <v>-28.660273972602738</v>
      </c>
      <c r="H24" s="26">
        <f>IF(C24&lt;=MIN('Исходные кривые'!$B$17:$L$17),INDEX('Исходные кривые'!$B$18:$L$18,1,1),IF(C24&gt;=MAX('Исходные кривые'!$B$17:$L$17),INDEX('Исходные кривые'!$B$18:$L$18,1,COLUMNS('Исходные кривые'!$B$18:$L$18)),INDEX('Исходные кривые'!$B$18:$L$18,1,MATCH(C24,'Исходные кривые'!$B$17:$L$17,1))+(C24-INDEX('Исходные кривые'!$B$17:$L$17,1,MATCH(C24,'Исходные кривые'!$B$17:$L$17,1)))*(INDEX('Исходные кривые'!$B$18:$L$18,1,MATCH(C24,'Исходные кривые'!$B$17:$L$17,1)+1)-INDEX('Исходные кривые'!$B$18:$L$18,1,MATCH(C24,'Исходные кривые'!$B$17:$L$17,1)))/(INDEX('Исходные кривые'!$B$17:$L$17,1,MATCH(C24,'Исходные кривые'!$B$17:$L$17,1)+1)-INDEX('Исходные кривые'!$B$17:$L$17,1,MATCH(C24,'Исходные кривые'!$B$17:$L$17,1)))))</f>
        <v>6.9612328767123293</v>
      </c>
      <c r="I24" s="26">
        <f>IF(C24&lt;=MIN('Исходные кривые'!$B$17:$L$17),INDEX('Исходные кривые'!$B$19:$L$19,1,1),IF(C24&gt;=MAX('Исходные кривые'!$B$17:$L$17),INDEX('Исходные кривые'!$B$19:$L$19,1,COLUMNS('Исходные кривые'!$B$19:$L$19)),INDEX('Исходные кривые'!$B$19:$L$19,1,MATCH(C24,'Исходные кривые'!$B$17:$L$17,1))+(C24-INDEX('Исходные кривые'!$B$17:$L$17,1,MATCH(C24,'Исходные кривые'!$B$17:$L$17,1)))*(INDEX('Исходные кривые'!$B$19:$L$19,1,MATCH(C24,'Исходные кривые'!$B$17:$L$17,1)+1)-INDEX('Исходные кривые'!$B$19:$L$19,1,MATCH(C24,'Исходные кривые'!$B$17:$L$17,1)))/(INDEX('Исходные кривые'!$B$17:$L$17,1,MATCH(C24,'Исходные кривые'!$B$17:$L$17,1)+1)-INDEX('Исходные кривые'!$B$17:$L$17,1,MATCH(C24,'Исходные кривые'!$B$17:$L$17,1)))))</f>
        <v>-4.3432876712328765</v>
      </c>
    </row>
    <row r="25" spans="1:9">
      <c r="A25" s="19">
        <v>47149</v>
      </c>
      <c r="B25" s="25">
        <f>A25-Настройки!$B$4</f>
        <v>946</v>
      </c>
      <c r="C25" s="26">
        <f>B25/Настройки!$B$5</f>
        <v>2.591780821917808</v>
      </c>
      <c r="D25" s="26">
        <f>IF(C25&lt;=MIN('Исходные кривые'!$B$4:$L$4),INDEX('Исходные кривые'!$B$5:$L$5,1,1),IF(C25&gt;=MAX('Исходные кривые'!$B$4:$L$4),INDEX('Исходные кривые'!$B$5:$L$5,1,COLUMNS('Исходные кривые'!$B$5:$L$5)),INDEX('Исходные кривые'!$B$5:$L$5,1,MATCH(C25,'Исходные кривые'!$B$4:$L$4,1))+(C25-INDEX('Исходные кривые'!$B$4:$L$4,1,MATCH(C25,'Исходные кривые'!$B$4:$L$4,1)))*(INDEX('Исходные кривые'!$B$5:$L$5,1,MATCH(C25,'Исходные кривые'!$B$4:$L$4,1)+1)-INDEX('Исходные кривые'!$B$5:$L$5,1,MATCH(C25,'Исходные кривые'!$B$4:$L$4,1)))/(INDEX('Исходные кривые'!$B$4:$L$4,1,MATCH(C25,'Исходные кривые'!$B$4:$L$4,1)+1)-INDEX('Исходные кривые'!$B$4:$L$4,1,MATCH(C25,'Исходные кривые'!$B$4:$L$4,1)))))</f>
        <v>14.225068493150685</v>
      </c>
      <c r="E25" s="26">
        <f>IF(C25&lt;=MIN('Исходные кривые'!$B$8:$N$8),INDEX('Исходные кривые'!$B$9:$N$9,1,1),IF(C25&gt;=MAX('Исходные кривые'!$B$8:$N$8),INDEX('Исходные кривые'!$B$9:$N$9,1,COLUMNS('Исходные кривые'!$B$9:$N$9)),INDEX('Исходные кривые'!$B$9:$N$9,1,MATCH(C25,'Исходные кривые'!$B$8:$N$8,1))+(C25-INDEX('Исходные кривые'!$B$8:$N$8,1,MATCH(C25,'Исходные кривые'!$B$8:$N$8,1)))*(INDEX('Исходные кривые'!$B$9:$N$9,1,MATCH(C25,'Исходные кривые'!$B$8:$N$8,1)+1)-INDEX('Исходные кривые'!$B$9:$N$9,1,MATCH(C25,'Исходные кривые'!$B$8:$N$8,1)))/(INDEX('Исходные кривые'!$B$8:$N$8,1,MATCH(C25,'Исходные кривые'!$B$8:$N$8,1)+1)-INDEX('Исходные кривые'!$B$8:$N$8,1,MATCH(C25,'Исходные кривые'!$B$8:$N$8,1)))))</f>
        <v>16.225068493150683</v>
      </c>
      <c r="F25" s="26">
        <f>IF(C25&lt;=MIN('Исходные кривые'!$B$12:$K$12),INDEX('Исходные кривые'!$B$13:$K$13,1,1),IF(C25&gt;=MAX('Исходные кривые'!$B$12:$K$12),INDEX('Исходные кривые'!$B$13:$K$13,1,COLUMNS('Исходные кривые'!$B$13:$K$13)),INDEX('Исходные кривые'!$B$13:$K$13,1,MATCH(C25,'Исходные кривые'!$B$12:$K$12,1))+(C25-INDEX('Исходные кривые'!$B$12:$K$12,1,MATCH(C25,'Исходные кривые'!$B$12:$K$12,1)))*(INDEX('Исходные кривые'!$B$13:$K$13,1,MATCH(C25,'Исходные кривые'!$B$12:$K$12,1)+1)-INDEX('Исходные кривые'!$B$13:$K$13,1,MATCH(C25,'Исходные кривые'!$B$12:$K$12,1)))/(INDEX('Исходные кривые'!$B$12:$K$12,1,MATCH(C25,'Исходные кривые'!$B$12:$K$12,1)+1)-INDEX('Исходные кривые'!$B$12:$K$12,1,MATCH(C25,'Исходные кривые'!$B$12:$K$12,1)))))</f>
        <v>54.408219178082192</v>
      </c>
      <c r="G25" s="26">
        <f>IF(C25&lt;=MIN('Исходные кривые'!$B$12:$K$12),INDEX('Исходные кривые'!$B$14:$K$14,1,1),IF(C25&gt;=MAX('Исходные кривые'!$B$12:$K$12),INDEX('Исходные кривые'!$B$14:$K$14,1,COLUMNS('Исходные кривые'!$B$14:$K$14)),INDEX('Исходные кривые'!$B$14:$K$14,1,MATCH(C25,'Исходные кривые'!$B$12:$K$12,1))+(C25-INDEX('Исходные кривые'!$B$12:$K$12,1,MATCH(C25,'Исходные кривые'!$B$12:$K$12,1)))*(INDEX('Исходные кривые'!$B$14:$K$14,1,MATCH(C25,'Исходные кривые'!$B$12:$K$12,1)+1)-INDEX('Исходные кривые'!$B$14:$K$14,1,MATCH(C25,'Исходные кривые'!$B$12:$K$12,1)))/(INDEX('Исходные кривые'!$B$12:$K$12,1,MATCH(C25,'Исходные кривые'!$B$12:$K$12,1)+1)-INDEX('Исходные кривые'!$B$12:$K$12,1,MATCH(C25,'Исходные кривые'!$B$12:$K$12,1)))))</f>
        <v>-28.408219178082192</v>
      </c>
      <c r="H25" s="26">
        <f>IF(C25&lt;=MIN('Исходные кривые'!$B$17:$L$17),INDEX('Исходные кривые'!$B$18:$L$18,1,1),IF(C25&gt;=MAX('Исходные кривые'!$B$17:$L$17),INDEX('Исходные кривые'!$B$18:$L$18,1,COLUMNS('Исходные кривые'!$B$18:$L$18)),INDEX('Исходные кривые'!$B$18:$L$18,1,MATCH(C25,'Исходные кривые'!$B$17:$L$17,1))+(C25-INDEX('Исходные кривые'!$B$17:$L$17,1,MATCH(C25,'Исходные кривые'!$B$17:$L$17,1)))*(INDEX('Исходные кривые'!$B$18:$L$18,1,MATCH(C25,'Исходные кривые'!$B$17:$L$17,1)+1)-INDEX('Исходные кривые'!$B$18:$L$18,1,MATCH(C25,'Исходные кривые'!$B$17:$L$17,1)))/(INDEX('Исходные кривые'!$B$17:$L$17,1,MATCH(C25,'Исходные кривые'!$B$17:$L$17,1)+1)-INDEX('Исходные кривые'!$B$17:$L$17,1,MATCH(C25,'Исходные кривые'!$B$17:$L$17,1)))))</f>
        <v>6.7469863013698639</v>
      </c>
      <c r="I25" s="26">
        <f>IF(C25&lt;=MIN('Исходные кривые'!$B$17:$L$17),INDEX('Исходные кривые'!$B$19:$L$19,1,1),IF(C25&gt;=MAX('Исходные кривые'!$B$17:$L$17),INDEX('Исходные кривые'!$B$19:$L$19,1,COLUMNS('Исходные кривые'!$B$19:$L$19)),INDEX('Исходные кривые'!$B$19:$L$19,1,MATCH(C25,'Исходные кривые'!$B$17:$L$17,1))+(C25-INDEX('Исходные кривые'!$B$17:$L$17,1,MATCH(C25,'Исходные кривые'!$B$17:$L$17,1)))*(INDEX('Исходные кривые'!$B$19:$L$19,1,MATCH(C25,'Исходные кривые'!$B$17:$L$17,1)+1)-INDEX('Исходные кривые'!$B$19:$L$19,1,MATCH(C25,'Исходные кривые'!$B$17:$L$17,1)))/(INDEX('Исходные кривые'!$B$17:$L$17,1,MATCH(C25,'Исходные кривые'!$B$17:$L$17,1)+1)-INDEX('Исходные кривые'!$B$17:$L$17,1,MATCH(C25,'Исходные кривые'!$B$17:$L$17,1)))))</f>
        <v>-4.0786301369863018</v>
      </c>
    </row>
    <row r="26" spans="1:9">
      <c r="A26" s="19">
        <v>47240</v>
      </c>
      <c r="B26" s="25">
        <f>A26-Настройки!$B$4</f>
        <v>1037</v>
      </c>
      <c r="C26" s="26">
        <f>B26/Настройки!$B$5</f>
        <v>2.8410958904109589</v>
      </c>
      <c r="D26" s="26">
        <f>IF(C26&lt;=MIN('Исходные кривые'!$B$4:$L$4),INDEX('Исходные кривые'!$B$5:$L$5,1,1),IF(C26&gt;=MAX('Исходные кривые'!$B$4:$L$4),INDEX('Исходные кривые'!$B$5:$L$5,1,COLUMNS('Исходные кривые'!$B$5:$L$5)),INDEX('Исходные кривые'!$B$5:$L$5,1,MATCH(C26,'Исходные кривые'!$B$4:$L$4,1))+(C26-INDEX('Исходные кривые'!$B$4:$L$4,1,MATCH(C26,'Исходные кривые'!$B$4:$L$4,1)))*(INDEX('Исходные кривые'!$B$5:$L$5,1,MATCH(C26,'Исходные кривые'!$B$4:$L$4,1)+1)-INDEX('Исходные кривые'!$B$5:$L$5,1,MATCH(C26,'Исходные кривые'!$B$4:$L$4,1)))/(INDEX('Исходные кривые'!$B$4:$L$4,1,MATCH(C26,'Исходные кривые'!$B$4:$L$4,1)+1)-INDEX('Исходные кривые'!$B$4:$L$4,1,MATCH(C26,'Исходные кривые'!$B$4:$L$4,1)))))</f>
        <v>14.374657534246575</v>
      </c>
      <c r="E26" s="26">
        <f>IF(C26&lt;=MIN('Исходные кривые'!$B$8:$N$8),INDEX('Исходные кривые'!$B$9:$N$9,1,1),IF(C26&gt;=MAX('Исходные кривые'!$B$8:$N$8),INDEX('Исходные кривые'!$B$9:$N$9,1,COLUMNS('Исходные кривые'!$B$9:$N$9)),INDEX('Исходные кривые'!$B$9:$N$9,1,MATCH(C26,'Исходные кривые'!$B$8:$N$8,1))+(C26-INDEX('Исходные кривые'!$B$8:$N$8,1,MATCH(C26,'Исходные кривые'!$B$8:$N$8,1)))*(INDEX('Исходные кривые'!$B$9:$N$9,1,MATCH(C26,'Исходные кривые'!$B$8:$N$8,1)+1)-INDEX('Исходные кривые'!$B$9:$N$9,1,MATCH(C26,'Исходные кривые'!$B$8:$N$8,1)))/(INDEX('Исходные кривые'!$B$8:$N$8,1,MATCH(C26,'Исходные кривые'!$B$8:$N$8,1)+1)-INDEX('Исходные кривые'!$B$8:$N$8,1,MATCH(C26,'Исходные кривые'!$B$8:$N$8,1)))))</f>
        <v>16.374657534246573</v>
      </c>
      <c r="F26" s="26">
        <f>IF(C26&lt;=MIN('Исходные кривые'!$B$12:$K$12),INDEX('Исходные кривые'!$B$13:$K$13,1,1),IF(C26&gt;=MAX('Исходные кривые'!$B$12:$K$12),INDEX('Исходные кривые'!$B$13:$K$13,1,COLUMNS('Исходные кривые'!$B$13:$K$13)),INDEX('Исходные кривые'!$B$13:$K$13,1,MATCH(C26,'Исходные кривые'!$B$12:$K$12,1))+(C26-INDEX('Исходные кривые'!$B$12:$K$12,1,MATCH(C26,'Исходные кривые'!$B$12:$K$12,1)))*(INDEX('Исходные кривые'!$B$13:$K$13,1,MATCH(C26,'Исходные кривые'!$B$12:$K$12,1)+1)-INDEX('Исходные кривые'!$B$13:$K$13,1,MATCH(C26,'Исходные кривые'!$B$12:$K$12,1)))/(INDEX('Исходные кривые'!$B$12:$K$12,1,MATCH(C26,'Исходные кривые'!$B$12:$K$12,1)+1)-INDEX('Исходные кривые'!$B$12:$K$12,1,MATCH(C26,'Исходные кривые'!$B$12:$K$12,1)))))</f>
        <v>54.158904109589038</v>
      </c>
      <c r="G26" s="26">
        <f>IF(C26&lt;=MIN('Исходные кривые'!$B$12:$K$12),INDEX('Исходные кривые'!$B$14:$K$14,1,1),IF(C26&gt;=MAX('Исходные кривые'!$B$12:$K$12),INDEX('Исходные кривые'!$B$14:$K$14,1,COLUMNS('Исходные кривые'!$B$14:$K$14)),INDEX('Исходные кривые'!$B$14:$K$14,1,MATCH(C26,'Исходные кривые'!$B$12:$K$12,1))+(C26-INDEX('Исходные кривые'!$B$12:$K$12,1,MATCH(C26,'Исходные кривые'!$B$12:$K$12,1)))*(INDEX('Исходные кривые'!$B$14:$K$14,1,MATCH(C26,'Исходные кривые'!$B$12:$K$12,1)+1)-INDEX('Исходные кривые'!$B$14:$K$14,1,MATCH(C26,'Исходные кривые'!$B$12:$K$12,1)))/(INDEX('Исходные кривые'!$B$12:$K$12,1,MATCH(C26,'Исходные кривые'!$B$12:$K$12,1)+1)-INDEX('Исходные кривые'!$B$12:$K$12,1,MATCH(C26,'Исходные кривые'!$B$12:$K$12,1)))))</f>
        <v>-28.158904109589042</v>
      </c>
      <c r="H26" s="26">
        <f>IF(C26&lt;=MIN('Исходные кривые'!$B$17:$L$17),INDEX('Исходные кривые'!$B$18:$L$18,1,1),IF(C26&gt;=MAX('Исходные кривые'!$B$17:$L$17),INDEX('Исходные кривые'!$B$18:$L$18,1,COLUMNS('Исходные кривые'!$B$18:$L$18)),INDEX('Исходные кривые'!$B$18:$L$18,1,MATCH(C26,'Исходные кривые'!$B$17:$L$17,1))+(C26-INDEX('Исходные кривые'!$B$17:$L$17,1,MATCH(C26,'Исходные кривые'!$B$17:$L$17,1)))*(INDEX('Исходные кривые'!$B$18:$L$18,1,MATCH(C26,'Исходные кривые'!$B$17:$L$17,1)+1)-INDEX('Исходные кривые'!$B$18:$L$18,1,MATCH(C26,'Исходные кривые'!$B$17:$L$17,1)))/(INDEX('Исходные кривые'!$B$17:$L$17,1,MATCH(C26,'Исходные кривые'!$B$17:$L$17,1)+1)-INDEX('Исходные кривые'!$B$17:$L$17,1,MATCH(C26,'Исходные кривые'!$B$17:$L$17,1)))))</f>
        <v>6.5350684931506855</v>
      </c>
      <c r="I26" s="26">
        <f>IF(C26&lt;=MIN('Исходные кривые'!$B$17:$L$17),INDEX('Исходные кривые'!$B$19:$L$19,1,1),IF(C26&gt;=MAX('Исходные кривые'!$B$17:$L$17),INDEX('Исходные кривые'!$B$19:$L$19,1,COLUMNS('Исходные кривые'!$B$19:$L$19)),INDEX('Исходные кривые'!$B$19:$L$19,1,MATCH(C26,'Исходные кривые'!$B$17:$L$17,1))+(C26-INDEX('Исходные кривые'!$B$17:$L$17,1,MATCH(C26,'Исходные кривые'!$B$17:$L$17,1)))*(INDEX('Исходные кривые'!$B$19:$L$19,1,MATCH(C26,'Исходные кривые'!$B$17:$L$17,1)+1)-INDEX('Исходные кривые'!$B$19:$L$19,1,MATCH(C26,'Исходные кривые'!$B$17:$L$17,1)))/(INDEX('Исходные кривые'!$B$17:$L$17,1,MATCH(C26,'Исходные кривые'!$B$17:$L$17,1)+1)-INDEX('Исходные кривые'!$B$17:$L$17,1,MATCH(C26,'Исходные кривые'!$B$17:$L$17,1)))))</f>
        <v>-3.816849315068493</v>
      </c>
    </row>
    <row r="27" spans="1:9">
      <c r="A27" s="19">
        <v>47330</v>
      </c>
      <c r="B27" s="25">
        <f>A27-Настройки!$B$4</f>
        <v>1127</v>
      </c>
      <c r="C27" s="26">
        <f>B27/Настройки!$B$5</f>
        <v>3.0876712328767124</v>
      </c>
      <c r="D27" s="26">
        <f>IF(C27&lt;=MIN('Исходные кривые'!$B$4:$L$4),INDEX('Исходные кривые'!$B$5:$L$5,1,1),IF(C27&gt;=MAX('Исходные кривые'!$B$4:$L$4),INDEX('Исходные кривые'!$B$5:$L$5,1,COLUMNS('Исходные кривые'!$B$5:$L$5)),INDEX('Исходные кривые'!$B$5:$L$5,1,MATCH(C27,'Исходные кривые'!$B$4:$L$4,1))+(C27-INDEX('Исходные кривые'!$B$4:$L$4,1,MATCH(C27,'Исходные кривые'!$B$4:$L$4,1)))*(INDEX('Исходные кривые'!$B$5:$L$5,1,MATCH(C27,'Исходные кривые'!$B$4:$L$4,1)+1)-INDEX('Исходные кривые'!$B$5:$L$5,1,MATCH(C27,'Исходные кривые'!$B$4:$L$4,1)))/(INDEX('Исходные кривые'!$B$4:$L$4,1,MATCH(C27,'Исходные кривые'!$B$4:$L$4,1)+1)-INDEX('Исходные кривые'!$B$4:$L$4,1,MATCH(C27,'Исходные кривые'!$B$4:$L$4,1)))))</f>
        <v>14.511643835616439</v>
      </c>
      <c r="E27" s="26">
        <f>IF(C27&lt;=MIN('Исходные кривые'!$B$8:$N$8),INDEX('Исходные кривые'!$B$9:$N$9,1,1),IF(C27&gt;=MAX('Исходные кривые'!$B$8:$N$8),INDEX('Исходные кривые'!$B$9:$N$9,1,COLUMNS('Исходные кривые'!$B$9:$N$9)),INDEX('Исходные кривые'!$B$9:$N$9,1,MATCH(C27,'Исходные кривые'!$B$8:$N$8,1))+(C27-INDEX('Исходные кривые'!$B$8:$N$8,1,MATCH(C27,'Исходные кривые'!$B$8:$N$8,1)))*(INDEX('Исходные кривые'!$B$9:$N$9,1,MATCH(C27,'Исходные кривые'!$B$8:$N$8,1)+1)-INDEX('Исходные кривые'!$B$9:$N$9,1,MATCH(C27,'Исходные кривые'!$B$8:$N$8,1)))/(INDEX('Исходные кривые'!$B$8:$N$8,1,MATCH(C27,'Исходные кривые'!$B$8:$N$8,1)+1)-INDEX('Исходные кривые'!$B$8:$N$8,1,MATCH(C27,'Исходные кривые'!$B$8:$N$8,1)))))</f>
        <v>16.511643835616436</v>
      </c>
      <c r="F27" s="26">
        <f>IF(C27&lt;=MIN('Исходные кривые'!$B$12:$K$12),INDEX('Исходные кривые'!$B$13:$K$13,1,1),IF(C27&gt;=MAX('Исходные кривые'!$B$12:$K$12),INDEX('Исходные кривые'!$B$13:$K$13,1,COLUMNS('Исходные кривые'!$B$13:$K$13)),INDEX('Исходные кривые'!$B$13:$K$13,1,MATCH(C27,'Исходные кривые'!$B$12:$K$12,1))+(C27-INDEX('Исходные кривые'!$B$12:$K$12,1,MATCH(C27,'Исходные кривые'!$B$12:$K$12,1)))*(INDEX('Исходные кривые'!$B$13:$K$13,1,MATCH(C27,'Исходные кривые'!$B$12:$K$12,1)+1)-INDEX('Исходные кривые'!$B$13:$K$13,1,MATCH(C27,'Исходные кривые'!$B$12:$K$12,1)))/(INDEX('Исходные кривые'!$B$12:$K$12,1,MATCH(C27,'Исходные кривые'!$B$12:$K$12,1)+1)-INDEX('Исходные кривые'!$B$12:$K$12,1,MATCH(C27,'Исходные кривые'!$B$12:$K$12,1)))))</f>
        <v>53.736986301369861</v>
      </c>
      <c r="G27" s="26">
        <f>IF(C27&lt;=MIN('Исходные кривые'!$B$12:$K$12),INDEX('Исходные кривые'!$B$14:$K$14,1,1),IF(C27&gt;=MAX('Исходные кривые'!$B$12:$K$12),INDEX('Исходные кривые'!$B$14:$K$14,1,COLUMNS('Исходные кривые'!$B$14:$K$14)),INDEX('Исходные кривые'!$B$14:$K$14,1,MATCH(C27,'Исходные кривые'!$B$12:$K$12,1))+(C27-INDEX('Исходные кривые'!$B$12:$K$12,1,MATCH(C27,'Исходные кривые'!$B$12:$K$12,1)))*(INDEX('Исходные кривые'!$B$14:$K$14,1,MATCH(C27,'Исходные кривые'!$B$12:$K$12,1)+1)-INDEX('Исходные кривые'!$B$14:$K$14,1,MATCH(C27,'Исходные кривые'!$B$12:$K$12,1)))/(INDEX('Исходные кривые'!$B$12:$K$12,1,MATCH(C27,'Исходные кривые'!$B$12:$K$12,1)+1)-INDEX('Исходные кривые'!$B$12:$K$12,1,MATCH(C27,'Исходные кривые'!$B$12:$K$12,1)))))</f>
        <v>-27.956164383561642</v>
      </c>
      <c r="H27" s="26">
        <f>IF(C27&lt;=MIN('Исходные кривые'!$B$17:$L$17),INDEX('Исходные кривые'!$B$18:$L$18,1,1),IF(C27&gt;=MAX('Исходные кривые'!$B$17:$L$17),INDEX('Исходные кривые'!$B$18:$L$18,1,COLUMNS('Исходные кривые'!$B$18:$L$18)),INDEX('Исходные кривые'!$B$18:$L$18,1,MATCH(C27,'Исходные кривые'!$B$17:$L$17,1))+(C27-INDEX('Исходные кривые'!$B$17:$L$17,1,MATCH(C27,'Исходные кривые'!$B$17:$L$17,1)))*(INDEX('Исходные кривые'!$B$18:$L$18,1,MATCH(C27,'Исходные кривые'!$B$17:$L$17,1)+1)-INDEX('Исходные кривые'!$B$18:$L$18,1,MATCH(C27,'Исходные кривые'!$B$17:$L$17,1)))/(INDEX('Исходные кривые'!$B$17:$L$17,1,MATCH(C27,'Исходные кривые'!$B$17:$L$17,1)+1)-INDEX('Исходные кривые'!$B$17:$L$17,1,MATCH(C27,'Исходные кривые'!$B$17:$L$17,1)))))</f>
        <v>6.3780821917808224</v>
      </c>
      <c r="I27" s="26">
        <f>IF(C27&lt;=MIN('Исходные кривые'!$B$17:$L$17),INDEX('Исходные кривые'!$B$19:$L$19,1,1),IF(C27&gt;=MAX('Исходные кривые'!$B$17:$L$17),INDEX('Исходные кривые'!$B$19:$L$19,1,COLUMNS('Исходные кривые'!$B$19:$L$19)),INDEX('Исходные кривые'!$B$19:$L$19,1,MATCH(C27,'Исходные кривые'!$B$17:$L$17,1))+(C27-INDEX('Исходные кривые'!$B$17:$L$17,1,MATCH(C27,'Исходные кривые'!$B$17:$L$17,1)))*(INDEX('Исходные кривые'!$B$19:$L$19,1,MATCH(C27,'Исходные кривые'!$B$17:$L$17,1)+1)-INDEX('Исходные кривые'!$B$19:$L$19,1,MATCH(C27,'Исходные кривые'!$B$17:$L$17,1)))/(INDEX('Исходные кривые'!$B$17:$L$17,1,MATCH(C27,'Исходные кривые'!$B$17:$L$17,1)+1)-INDEX('Исходные кривые'!$B$17:$L$17,1,MATCH(C27,'Исходные кривые'!$B$17:$L$17,1)))))</f>
        <v>-3.5798630136986298</v>
      </c>
    </row>
    <row r="28" spans="1:9">
      <c r="A28" s="19">
        <v>47422</v>
      </c>
      <c r="B28" s="25">
        <f>A28-Настройки!$B$4</f>
        <v>1219</v>
      </c>
      <c r="C28" s="26">
        <f>B28/Настройки!$B$5</f>
        <v>3.3397260273972602</v>
      </c>
      <c r="D28" s="26">
        <f>IF(C28&lt;=MIN('Исходные кривые'!$B$4:$L$4),INDEX('Исходные кривые'!$B$5:$L$5,1,1),IF(C28&gt;=MAX('Исходные кривые'!$B$4:$L$4),INDEX('Исходные кривые'!$B$5:$L$5,1,COLUMNS('Исходные кривые'!$B$5:$L$5)),INDEX('Исходные кривые'!$B$5:$L$5,1,MATCH(C28,'Исходные кривые'!$B$4:$L$4,1))+(C28-INDEX('Исходные кривые'!$B$4:$L$4,1,MATCH(C28,'Исходные кривые'!$B$4:$L$4,1)))*(INDEX('Исходные кривые'!$B$5:$L$5,1,MATCH(C28,'Исходные кривые'!$B$4:$L$4,1)+1)-INDEX('Исходные кривые'!$B$5:$L$5,1,MATCH(C28,'Исходные кривые'!$B$4:$L$4,1)))/(INDEX('Исходные кривые'!$B$4:$L$4,1,MATCH(C28,'Исходные кривые'!$B$4:$L$4,1)+1)-INDEX('Исходные кривые'!$B$4:$L$4,1,MATCH(C28,'Исходные кривые'!$B$4:$L$4,1)))))</f>
        <v>14.631369863013699</v>
      </c>
      <c r="E28" s="26">
        <f>IF(C28&lt;=MIN('Исходные кривые'!$B$8:$N$8),INDEX('Исходные кривые'!$B$9:$N$9,1,1),IF(C28&gt;=MAX('Исходные кривые'!$B$8:$N$8),INDEX('Исходные кривые'!$B$9:$N$9,1,COLUMNS('Исходные кривые'!$B$9:$N$9)),INDEX('Исходные кривые'!$B$9:$N$9,1,MATCH(C28,'Исходные кривые'!$B$8:$N$8,1))+(C28-INDEX('Исходные кривые'!$B$8:$N$8,1,MATCH(C28,'Исходные кривые'!$B$8:$N$8,1)))*(INDEX('Исходные кривые'!$B$9:$N$9,1,MATCH(C28,'Исходные кривые'!$B$8:$N$8,1)+1)-INDEX('Исходные кривые'!$B$9:$N$9,1,MATCH(C28,'Исходные кривые'!$B$8:$N$8,1)))/(INDEX('Исходные кривые'!$B$8:$N$8,1,MATCH(C28,'Исходные кривые'!$B$8:$N$8,1)+1)-INDEX('Исходные кривые'!$B$8:$N$8,1,MATCH(C28,'Исходные кривые'!$B$8:$N$8,1)))))</f>
        <v>16.631369863013699</v>
      </c>
      <c r="F28" s="26">
        <f>IF(C28&lt;=MIN('Исходные кривые'!$B$12:$K$12),INDEX('Исходные кривые'!$B$13:$K$13,1,1),IF(C28&gt;=MAX('Исходные кривые'!$B$12:$K$12),INDEX('Исходные кривые'!$B$13:$K$13,1,COLUMNS('Исходные кривые'!$B$13:$K$13)),INDEX('Исходные кривые'!$B$13:$K$13,1,MATCH(C28,'Исходные кривые'!$B$12:$K$12,1))+(C28-INDEX('Исходные кривые'!$B$12:$K$12,1,MATCH(C28,'Исходные кривые'!$B$12:$K$12,1)))*(INDEX('Исходные кривые'!$B$13:$K$13,1,MATCH(C28,'Исходные кривые'!$B$12:$K$12,1)+1)-INDEX('Исходные кривые'!$B$13:$K$13,1,MATCH(C28,'Исходные кривые'!$B$12:$K$12,1)))/(INDEX('Исходные кривые'!$B$12:$K$12,1,MATCH(C28,'Исходные кривые'!$B$12:$K$12,1)+1)-INDEX('Исходные кривые'!$B$12:$K$12,1,MATCH(C28,'Исходные кривые'!$B$12:$K$12,1)))))</f>
        <v>52.980821917808221</v>
      </c>
      <c r="G28" s="26">
        <f>IF(C28&lt;=MIN('Исходные кривые'!$B$12:$K$12),INDEX('Исходные кривые'!$B$14:$K$14,1,1),IF(C28&gt;=MAX('Исходные кривые'!$B$12:$K$12),INDEX('Исходные кривые'!$B$14:$K$14,1,COLUMNS('Исходные кривые'!$B$14:$K$14)),INDEX('Исходные кривые'!$B$14:$K$14,1,MATCH(C28,'Исходные кривые'!$B$12:$K$12,1))+(C28-INDEX('Исходные кривые'!$B$12:$K$12,1,MATCH(C28,'Исходные кривые'!$B$12:$K$12,1)))*(INDEX('Исходные кривые'!$B$14:$K$14,1,MATCH(C28,'Исходные кривые'!$B$12:$K$12,1)+1)-INDEX('Исходные кривые'!$B$14:$K$14,1,MATCH(C28,'Исходные кривые'!$B$12:$K$12,1)))/(INDEX('Исходные кривые'!$B$12:$K$12,1,MATCH(C28,'Исходные кривые'!$B$12:$K$12,1)+1)-INDEX('Исходные кривые'!$B$12:$K$12,1,MATCH(C28,'Исходные кривые'!$B$12:$K$12,1)))))</f>
        <v>-27.830136986301369</v>
      </c>
      <c r="H28" s="26">
        <f>IF(C28&lt;=MIN('Исходные кривые'!$B$17:$L$17),INDEX('Исходные кривые'!$B$18:$L$18,1,1),IF(C28&gt;=MAX('Исходные кривые'!$B$17:$L$17),INDEX('Исходные кривые'!$B$18:$L$18,1,COLUMNS('Исходные кривые'!$B$18:$L$18)),INDEX('Исходные кривые'!$B$18:$L$18,1,MATCH(C28,'Исходные кривые'!$B$17:$L$17,1))+(C28-INDEX('Исходные кривые'!$B$17:$L$17,1,MATCH(C28,'Исходные кривые'!$B$17:$L$17,1)))*(INDEX('Исходные кривые'!$B$18:$L$18,1,MATCH(C28,'Исходные кривые'!$B$17:$L$17,1)+1)-INDEX('Исходные кривые'!$B$18:$L$18,1,MATCH(C28,'Исходные кривые'!$B$17:$L$17,1)))/(INDEX('Исходные кривые'!$B$17:$L$17,1,MATCH(C28,'Исходные кривые'!$B$17:$L$17,1)+1)-INDEX('Исходные кривые'!$B$17:$L$17,1,MATCH(C28,'Исходные кривые'!$B$17:$L$17,1)))))</f>
        <v>6.3150684931506849</v>
      </c>
      <c r="I28" s="26">
        <f>IF(C28&lt;=MIN('Исходные кривые'!$B$17:$L$17),INDEX('Исходные кривые'!$B$19:$L$19,1,1),IF(C28&gt;=MAX('Исходные кривые'!$B$17:$L$17),INDEX('Исходные кривые'!$B$19:$L$19,1,COLUMNS('Исходные кривые'!$B$19:$L$19)),INDEX('Исходные кривые'!$B$19:$L$19,1,MATCH(C28,'Исходные кривые'!$B$17:$L$17,1))+(C28-INDEX('Исходные кривые'!$B$17:$L$17,1,MATCH(C28,'Исходные кривые'!$B$17:$L$17,1)))*(INDEX('Исходные кривые'!$B$19:$L$19,1,MATCH(C28,'Исходные кривые'!$B$17:$L$17,1)+1)-INDEX('Исходные кривые'!$B$19:$L$19,1,MATCH(C28,'Исходные кривые'!$B$17:$L$17,1)))/(INDEX('Исходные кривые'!$B$17:$L$17,1,MATCH(C28,'Исходные кривые'!$B$17:$L$17,1)+1)-INDEX('Исходные кривые'!$B$17:$L$17,1,MATCH(C28,'Исходные кривые'!$B$17:$L$17,1)))))</f>
        <v>-3.3782191780821917</v>
      </c>
    </row>
    <row r="29" spans="1:9">
      <c r="A29" s="19">
        <v>47514</v>
      </c>
      <c r="B29" s="25">
        <f>A29-Настройки!$B$4</f>
        <v>1311</v>
      </c>
      <c r="C29" s="26">
        <f>B29/Настройки!$B$5</f>
        <v>3.591780821917808</v>
      </c>
      <c r="D29" s="26">
        <f>IF(C29&lt;=MIN('Исходные кривые'!$B$4:$L$4),INDEX('Исходные кривые'!$B$5:$L$5,1,1),IF(C29&gt;=MAX('Исходные кривые'!$B$4:$L$4),INDEX('Исходные кривые'!$B$5:$L$5,1,COLUMNS('Исходные кривые'!$B$5:$L$5)),INDEX('Исходные кривые'!$B$5:$L$5,1,MATCH(C29,'Исходные кривые'!$B$4:$L$4,1))+(C29-INDEX('Исходные кривые'!$B$4:$L$4,1,MATCH(C29,'Исходные кривые'!$B$4:$L$4,1)))*(INDEX('Исходные кривые'!$B$5:$L$5,1,MATCH(C29,'Исходные кривые'!$B$4:$L$4,1)+1)-INDEX('Исходные кривые'!$B$5:$L$5,1,MATCH(C29,'Исходные кривые'!$B$4:$L$4,1)))/(INDEX('Исходные кривые'!$B$4:$L$4,1,MATCH(C29,'Исходные кривые'!$B$4:$L$4,1)+1)-INDEX('Исходные кривые'!$B$4:$L$4,1,MATCH(C29,'Исходные кривые'!$B$4:$L$4,1)))))</f>
        <v>14.751095890410959</v>
      </c>
      <c r="E29" s="26">
        <f>IF(C29&lt;=MIN('Исходные кривые'!$B$8:$N$8),INDEX('Исходные кривые'!$B$9:$N$9,1,1),IF(C29&gt;=MAX('Исходные кривые'!$B$8:$N$8),INDEX('Исходные кривые'!$B$9:$N$9,1,COLUMNS('Исходные кривые'!$B$9:$N$9)),INDEX('Исходные кривые'!$B$9:$N$9,1,MATCH(C29,'Исходные кривые'!$B$8:$N$8,1))+(C29-INDEX('Исходные кривые'!$B$8:$N$8,1,MATCH(C29,'Исходные кривые'!$B$8:$N$8,1)))*(INDEX('Исходные кривые'!$B$9:$N$9,1,MATCH(C29,'Исходные кривые'!$B$8:$N$8,1)+1)-INDEX('Исходные кривые'!$B$9:$N$9,1,MATCH(C29,'Исходные кривые'!$B$8:$N$8,1)))/(INDEX('Исходные кривые'!$B$8:$N$8,1,MATCH(C29,'Исходные кривые'!$B$8:$N$8,1)+1)-INDEX('Исходные кривые'!$B$8:$N$8,1,MATCH(C29,'Исходные кривые'!$B$8:$N$8,1)))))</f>
        <v>16.751095890410959</v>
      </c>
      <c r="F29" s="26">
        <f>IF(C29&lt;=MIN('Исходные кривые'!$B$12:$K$12),INDEX('Исходные кривые'!$B$13:$K$13,1,1),IF(C29&gt;=MAX('Исходные кривые'!$B$12:$K$12),INDEX('Исходные кривые'!$B$13:$K$13,1,COLUMNS('Исходные кривые'!$B$13:$K$13)),INDEX('Исходные кривые'!$B$13:$K$13,1,MATCH(C29,'Исходные кривые'!$B$12:$K$12,1))+(C29-INDEX('Исходные кривые'!$B$12:$K$12,1,MATCH(C29,'Исходные кривые'!$B$12:$K$12,1)))*(INDEX('Исходные кривые'!$B$13:$K$13,1,MATCH(C29,'Исходные кривые'!$B$12:$K$12,1)+1)-INDEX('Исходные кривые'!$B$13:$K$13,1,MATCH(C29,'Исходные кривые'!$B$12:$K$12,1)))/(INDEX('Исходные кривые'!$B$12:$K$12,1,MATCH(C29,'Исходные кривые'!$B$12:$K$12,1)+1)-INDEX('Исходные кривые'!$B$12:$K$12,1,MATCH(C29,'Исходные кривые'!$B$12:$K$12,1)))))</f>
        <v>52.224657534246575</v>
      </c>
      <c r="G29" s="26">
        <f>IF(C29&lt;=MIN('Исходные кривые'!$B$12:$K$12),INDEX('Исходные кривые'!$B$14:$K$14,1,1),IF(C29&gt;=MAX('Исходные кривые'!$B$12:$K$12),INDEX('Исходные кривые'!$B$14:$K$14,1,COLUMNS('Исходные кривые'!$B$14:$K$14)),INDEX('Исходные кривые'!$B$14:$K$14,1,MATCH(C29,'Исходные кривые'!$B$12:$K$12,1))+(C29-INDEX('Исходные кривые'!$B$12:$K$12,1,MATCH(C29,'Исходные кривые'!$B$12:$K$12,1)))*(INDEX('Исходные кривые'!$B$14:$K$14,1,MATCH(C29,'Исходные кривые'!$B$12:$K$12,1)+1)-INDEX('Исходные кривые'!$B$14:$K$14,1,MATCH(C29,'Исходные кривые'!$B$12:$K$12,1)))/(INDEX('Исходные кривые'!$B$12:$K$12,1,MATCH(C29,'Исходные кривые'!$B$12:$K$12,1)+1)-INDEX('Исходные кривые'!$B$12:$K$12,1,MATCH(C29,'Исходные кривые'!$B$12:$K$12,1)))))</f>
        <v>-27.704109589041096</v>
      </c>
      <c r="H29" s="26">
        <f>IF(C29&lt;=MIN('Исходные кривые'!$B$17:$L$17),INDEX('Исходные кривые'!$B$18:$L$18,1,1),IF(C29&gt;=MAX('Исходные кривые'!$B$17:$L$17),INDEX('Исходные кривые'!$B$18:$L$18,1,COLUMNS('Исходные кривые'!$B$18:$L$18)),INDEX('Исходные кривые'!$B$18:$L$18,1,MATCH(C29,'Исходные кривые'!$B$17:$L$17,1))+(C29-INDEX('Исходные кривые'!$B$17:$L$17,1,MATCH(C29,'Исходные кривые'!$B$17:$L$17,1)))*(INDEX('Исходные кривые'!$B$18:$L$18,1,MATCH(C29,'Исходные кривые'!$B$17:$L$17,1)+1)-INDEX('Исходные кривые'!$B$18:$L$18,1,MATCH(C29,'Исходные кривые'!$B$17:$L$17,1)))/(INDEX('Исходные кривые'!$B$17:$L$17,1,MATCH(C29,'Исходные кривые'!$B$17:$L$17,1)+1)-INDEX('Исходные кривые'!$B$17:$L$17,1,MATCH(C29,'Исходные кривые'!$B$17:$L$17,1)))))</f>
        <v>6.2520547945205482</v>
      </c>
      <c r="I29" s="26">
        <f>IF(C29&lt;=MIN('Исходные кривые'!$B$17:$L$17),INDEX('Исходные кривые'!$B$19:$L$19,1,1),IF(C29&gt;=MAX('Исходные кривые'!$B$17:$L$17),INDEX('Исходные кривые'!$B$19:$L$19,1,COLUMNS('Исходные кривые'!$B$19:$L$19)),INDEX('Исходные кривые'!$B$19:$L$19,1,MATCH(C29,'Исходные кривые'!$B$17:$L$17,1))+(C29-INDEX('Исходные кривые'!$B$17:$L$17,1,MATCH(C29,'Исходные кривые'!$B$17:$L$17,1)))*(INDEX('Исходные кривые'!$B$19:$L$19,1,MATCH(C29,'Исходные кривые'!$B$17:$L$17,1)+1)-INDEX('Исходные кривые'!$B$19:$L$19,1,MATCH(C29,'Исходные кривые'!$B$17:$L$17,1)))/(INDEX('Исходные кривые'!$B$17:$L$17,1,MATCH(C29,'Исходные кривые'!$B$17:$L$17,1)+1)-INDEX('Исходные кривые'!$B$17:$L$17,1,MATCH(C29,'Исходные кривые'!$B$17:$L$17,1)))))</f>
        <v>-3.1765753424657537</v>
      </c>
    </row>
    <row r="30" spans="1:9">
      <c r="A30" s="19">
        <v>47605</v>
      </c>
      <c r="B30" s="25">
        <f>A30-Настройки!$B$4</f>
        <v>1402</v>
      </c>
      <c r="C30" s="26">
        <f>B30/Настройки!$B$5</f>
        <v>3.8410958904109589</v>
      </c>
      <c r="D30" s="26">
        <f>IF(C30&lt;=MIN('Исходные кривые'!$B$4:$L$4),INDEX('Исходные кривые'!$B$5:$L$5,1,1),IF(C30&gt;=MAX('Исходные кривые'!$B$4:$L$4),INDEX('Исходные кривые'!$B$5:$L$5,1,COLUMNS('Исходные кривые'!$B$5:$L$5)),INDEX('Исходные кривые'!$B$5:$L$5,1,MATCH(C30,'Исходные кривые'!$B$4:$L$4,1))+(C30-INDEX('Исходные кривые'!$B$4:$L$4,1,MATCH(C30,'Исходные кривые'!$B$4:$L$4,1)))*(INDEX('Исходные кривые'!$B$5:$L$5,1,MATCH(C30,'Исходные кривые'!$B$4:$L$4,1)+1)-INDEX('Исходные кривые'!$B$5:$L$5,1,MATCH(C30,'Исходные кривые'!$B$4:$L$4,1)))/(INDEX('Исходные кривые'!$B$4:$L$4,1,MATCH(C30,'Исходные кривые'!$B$4:$L$4,1)+1)-INDEX('Исходные кривые'!$B$4:$L$4,1,MATCH(C30,'Исходные кривые'!$B$4:$L$4,1)))))</f>
        <v>14.869520547945205</v>
      </c>
      <c r="E30" s="26">
        <f>IF(C30&lt;=MIN('Исходные кривые'!$B$8:$N$8),INDEX('Исходные кривые'!$B$9:$N$9,1,1),IF(C30&gt;=MAX('Исходные кривые'!$B$8:$N$8),INDEX('Исходные кривые'!$B$9:$N$9,1,COLUMNS('Исходные кривые'!$B$9:$N$9)),INDEX('Исходные кривые'!$B$9:$N$9,1,MATCH(C30,'Исходные кривые'!$B$8:$N$8,1))+(C30-INDEX('Исходные кривые'!$B$8:$N$8,1,MATCH(C30,'Исходные кривые'!$B$8:$N$8,1)))*(INDEX('Исходные кривые'!$B$9:$N$9,1,MATCH(C30,'Исходные кривые'!$B$8:$N$8,1)+1)-INDEX('Исходные кривые'!$B$9:$N$9,1,MATCH(C30,'Исходные кривые'!$B$8:$N$8,1)))/(INDEX('Исходные кривые'!$B$8:$N$8,1,MATCH(C30,'Исходные кривые'!$B$8:$N$8,1)+1)-INDEX('Исходные кривые'!$B$8:$N$8,1,MATCH(C30,'Исходные кривые'!$B$8:$N$8,1)))))</f>
        <v>16.869520547945207</v>
      </c>
      <c r="F30" s="26">
        <f>IF(C30&lt;=MIN('Исходные кривые'!$B$12:$K$12),INDEX('Исходные кривые'!$B$13:$K$13,1,1),IF(C30&gt;=MAX('Исходные кривые'!$B$12:$K$12),INDEX('Исходные кривые'!$B$13:$K$13,1,COLUMNS('Исходные кривые'!$B$13:$K$13)),INDEX('Исходные кривые'!$B$13:$K$13,1,MATCH(C30,'Исходные кривые'!$B$12:$K$12,1))+(C30-INDEX('Исходные кривые'!$B$12:$K$12,1,MATCH(C30,'Исходные кривые'!$B$12:$K$12,1)))*(INDEX('Исходные кривые'!$B$13:$K$13,1,MATCH(C30,'Исходные кривые'!$B$12:$K$12,1)+1)-INDEX('Исходные кривые'!$B$13:$K$13,1,MATCH(C30,'Исходные кривые'!$B$12:$K$12,1)))/(INDEX('Исходные кривые'!$B$12:$K$12,1,MATCH(C30,'Исходные кривые'!$B$12:$K$12,1)+1)-INDEX('Исходные кривые'!$B$12:$K$12,1,MATCH(C30,'Исходные кривые'!$B$12:$K$12,1)))))</f>
        <v>51.476712328767121</v>
      </c>
      <c r="G30" s="26">
        <f>IF(C30&lt;=MIN('Исходные кривые'!$B$12:$K$12),INDEX('Исходные кривые'!$B$14:$K$14,1,1),IF(C30&gt;=MAX('Исходные кривые'!$B$12:$K$12),INDEX('Исходные кривые'!$B$14:$K$14,1,COLUMNS('Исходные кривые'!$B$14:$K$14)),INDEX('Исходные кривые'!$B$14:$K$14,1,MATCH(C30,'Исходные кривые'!$B$12:$K$12,1))+(C30-INDEX('Исходные кривые'!$B$12:$K$12,1,MATCH(C30,'Исходные кривые'!$B$12:$K$12,1)))*(INDEX('Исходные кривые'!$B$14:$K$14,1,MATCH(C30,'Исходные кривые'!$B$12:$K$12,1)+1)-INDEX('Исходные кривые'!$B$14:$K$14,1,MATCH(C30,'Исходные кривые'!$B$12:$K$12,1)))/(INDEX('Исходные кривые'!$B$12:$K$12,1,MATCH(C30,'Исходные кривые'!$B$12:$K$12,1)+1)-INDEX('Исходные кривые'!$B$12:$K$12,1,MATCH(C30,'Исходные кривые'!$B$12:$K$12,1)))))</f>
        <v>-27.579452054794519</v>
      </c>
      <c r="H30" s="26">
        <f>IF(C30&lt;=MIN('Исходные кривые'!$B$17:$L$17),INDEX('Исходные кривые'!$B$18:$L$18,1,1),IF(C30&gt;=MAX('Исходные кривые'!$B$17:$L$17),INDEX('Исходные кривые'!$B$18:$L$18,1,COLUMNS('Исходные кривые'!$B$18:$L$18)),INDEX('Исходные кривые'!$B$18:$L$18,1,MATCH(C30,'Исходные кривые'!$B$17:$L$17,1))+(C30-INDEX('Исходные кривые'!$B$17:$L$17,1,MATCH(C30,'Исходные кривые'!$B$17:$L$17,1)))*(INDEX('Исходные кривые'!$B$18:$L$18,1,MATCH(C30,'Исходные кривые'!$B$17:$L$17,1)+1)-INDEX('Исходные кривые'!$B$18:$L$18,1,MATCH(C30,'Исходные кривые'!$B$17:$L$17,1)))/(INDEX('Исходные кривые'!$B$17:$L$17,1,MATCH(C30,'Исходные кривые'!$B$17:$L$17,1)+1)-INDEX('Исходные кривые'!$B$17:$L$17,1,MATCH(C30,'Исходные кривые'!$B$17:$L$17,1)))))</f>
        <v>6.1897260273972607</v>
      </c>
      <c r="I30" s="26">
        <f>IF(C30&lt;=MIN('Исходные кривые'!$B$17:$L$17),INDEX('Исходные кривые'!$B$19:$L$19,1,1),IF(C30&gt;=MAX('Исходные кривые'!$B$17:$L$17),INDEX('Исходные кривые'!$B$19:$L$19,1,COLUMNS('Исходные кривые'!$B$19:$L$19)),INDEX('Исходные кривые'!$B$19:$L$19,1,MATCH(C30,'Исходные кривые'!$B$17:$L$17,1))+(C30-INDEX('Исходные кривые'!$B$17:$L$17,1,MATCH(C30,'Исходные кривые'!$B$17:$L$17,1)))*(INDEX('Исходные кривые'!$B$19:$L$19,1,MATCH(C30,'Исходные кривые'!$B$17:$L$17,1)+1)-INDEX('Исходные кривые'!$B$19:$L$19,1,MATCH(C30,'Исходные кривые'!$B$17:$L$17,1)))/(INDEX('Исходные кривые'!$B$17:$L$17,1,MATCH(C30,'Исходные кривые'!$B$17:$L$17,1)+1)-INDEX('Исходные кривые'!$B$17:$L$17,1,MATCH(C30,'Исходные кривые'!$B$17:$L$17,1)))))</f>
        <v>-2.9771232876712328</v>
      </c>
    </row>
    <row r="31" spans="1:9">
      <c r="A31" s="19">
        <v>47695</v>
      </c>
      <c r="B31" s="25">
        <f>A31-Настройки!$B$4</f>
        <v>1492</v>
      </c>
      <c r="C31" s="26">
        <f>B31/Настройки!$B$5</f>
        <v>4.087671232876712</v>
      </c>
      <c r="D31" s="26">
        <f>IF(C31&lt;=MIN('Исходные кривые'!$B$4:$L$4),INDEX('Исходные кривые'!$B$5:$L$5,1,1),IF(C31&gt;=MAX('Исходные кривые'!$B$4:$L$4),INDEX('Исходные кривые'!$B$5:$L$5,1,COLUMNS('Исходные кривые'!$B$5:$L$5)),INDEX('Исходные кривые'!$B$5:$L$5,1,MATCH(C31,'Исходные кривые'!$B$4:$L$4,1))+(C31-INDEX('Исходные кривые'!$B$4:$L$4,1,MATCH(C31,'Исходные кривые'!$B$4:$L$4,1)))*(INDEX('Исходные кривые'!$B$5:$L$5,1,MATCH(C31,'Исходные кривые'!$B$4:$L$4,1)+1)-INDEX('Исходные кривые'!$B$5:$L$5,1,MATCH(C31,'Исходные кривые'!$B$4:$L$4,1)))/(INDEX('Исходные кривые'!$B$4:$L$4,1,MATCH(C31,'Исходные кривые'!$B$4:$L$4,1)+1)-INDEX('Исходные кривые'!$B$4:$L$4,1,MATCH(C31,'Исходные кривые'!$B$4:$L$4,1)))))</f>
        <v>14.986643835616439</v>
      </c>
      <c r="E31" s="26">
        <f>IF(C31&lt;=MIN('Исходные кривые'!$B$8:$N$8),INDEX('Исходные кривые'!$B$9:$N$9,1,1),IF(C31&gt;=MAX('Исходные кривые'!$B$8:$N$8),INDEX('Исходные кривые'!$B$9:$N$9,1,COLUMNS('Исходные кривые'!$B$9:$N$9)),INDEX('Исходные кривые'!$B$9:$N$9,1,MATCH(C31,'Исходные кривые'!$B$8:$N$8,1))+(C31-INDEX('Исходные кривые'!$B$8:$N$8,1,MATCH(C31,'Исходные кривые'!$B$8:$N$8,1)))*(INDEX('Исходные кривые'!$B$9:$N$9,1,MATCH(C31,'Исходные кривые'!$B$8:$N$8,1)+1)-INDEX('Исходные кривые'!$B$9:$N$9,1,MATCH(C31,'Исходные кривые'!$B$8:$N$8,1)))/(INDEX('Исходные кривые'!$B$8:$N$8,1,MATCH(C31,'Исходные кривые'!$B$8:$N$8,1)+1)-INDEX('Исходные кривые'!$B$8:$N$8,1,MATCH(C31,'Исходные кривые'!$B$8:$N$8,1)))))</f>
        <v>16.986643835616437</v>
      </c>
      <c r="F31" s="26">
        <f>IF(C31&lt;=MIN('Исходные кривые'!$B$12:$K$12),INDEX('Исходные кривые'!$B$13:$K$13,1,1),IF(C31&gt;=MAX('Исходные кривые'!$B$12:$K$12),INDEX('Исходные кривые'!$B$13:$K$13,1,COLUMNS('Исходные кривые'!$B$13:$K$13)),INDEX('Исходные кривые'!$B$13:$K$13,1,MATCH(C31,'Исходные кривые'!$B$12:$K$12,1))+(C31-INDEX('Исходные кривые'!$B$12:$K$12,1,MATCH(C31,'Исходные кривые'!$B$12:$K$12,1)))*(INDEX('Исходные кривые'!$B$13:$K$13,1,MATCH(C31,'Исходные кривые'!$B$12:$K$12,1)+1)-INDEX('Исходные кривые'!$B$13:$K$13,1,MATCH(C31,'Исходные кривые'!$B$12:$K$12,1)))/(INDEX('Исходные кривые'!$B$12:$K$12,1,MATCH(C31,'Исходные кривые'!$B$12:$K$12,1)+1)-INDEX('Исходные кривые'!$B$12:$K$12,1,MATCH(C31,'Исходные кривые'!$B$12:$K$12,1)))))</f>
        <v>50.736986301369868</v>
      </c>
      <c r="G31" s="26">
        <f>IF(C31&lt;=MIN('Исходные кривые'!$B$12:$K$12),INDEX('Исходные кривые'!$B$14:$K$14,1,1),IF(C31&gt;=MAX('Исходные кривые'!$B$12:$K$12),INDEX('Исходные кривые'!$B$14:$K$14,1,COLUMNS('Исходные кривые'!$B$14:$K$14)),INDEX('Исходные кривые'!$B$14:$K$14,1,MATCH(C31,'Исходные кривые'!$B$12:$K$12,1))+(C31-INDEX('Исходные кривые'!$B$12:$K$12,1,MATCH(C31,'Исходные кривые'!$B$12:$K$12,1)))*(INDEX('Исходные кривые'!$B$14:$K$14,1,MATCH(C31,'Исходные кривые'!$B$12:$K$12,1)+1)-INDEX('Исходные кривые'!$B$14:$K$14,1,MATCH(C31,'Исходные кривые'!$B$12:$K$12,1)))/(INDEX('Исходные кривые'!$B$12:$K$12,1,MATCH(C31,'Исходные кривые'!$B$12:$K$12,1)+1)-INDEX('Исходные кривые'!$B$12:$K$12,1,MATCH(C31,'Исходные кривые'!$B$12:$K$12,1)))))</f>
        <v>-27.456164383561642</v>
      </c>
      <c r="H31" s="26">
        <f>IF(C31&lt;=MIN('Исходные кривые'!$B$17:$L$17),INDEX('Исходные кривые'!$B$18:$L$18,1,1),IF(C31&gt;=MAX('Исходные кривые'!$B$17:$L$17),INDEX('Исходные кривые'!$B$18:$L$18,1,COLUMNS('Исходные кривые'!$B$18:$L$18)),INDEX('Исходные кривые'!$B$18:$L$18,1,MATCH(C31,'Исходные кривые'!$B$17:$L$17,1))+(C31-INDEX('Исходные кривые'!$B$17:$L$17,1,MATCH(C31,'Исходные кривые'!$B$17:$L$17,1)))*(INDEX('Исходные кривые'!$B$18:$L$18,1,MATCH(C31,'Исходные кривые'!$B$17:$L$17,1)+1)-INDEX('Исходные кривые'!$B$18:$L$18,1,MATCH(C31,'Исходные кривые'!$B$17:$L$17,1)))/(INDEX('Исходные кривые'!$B$17:$L$17,1,MATCH(C31,'Исходные кривые'!$B$17:$L$17,1)+1)-INDEX('Исходные кривые'!$B$17:$L$17,1,MATCH(C31,'Исходные кривые'!$B$17:$L$17,1)))))</f>
        <v>6.0842465753424664</v>
      </c>
      <c r="I31" s="26">
        <f>IF(C31&lt;=MIN('Исходные кривые'!$B$17:$L$17),INDEX('Исходные кривые'!$B$19:$L$19,1,1),IF(C31&gt;=MAX('Исходные кривые'!$B$17:$L$17),INDEX('Исходные кривые'!$B$19:$L$19,1,COLUMNS('Исходные кривые'!$B$19:$L$19)),INDEX('Исходные кривые'!$B$19:$L$19,1,MATCH(C31,'Исходные кривые'!$B$17:$L$17,1))+(C31-INDEX('Исходные кривые'!$B$17:$L$17,1,MATCH(C31,'Исходные кривые'!$B$17:$L$17,1)))*(INDEX('Исходные кривые'!$B$19:$L$19,1,MATCH(C31,'Исходные кривые'!$B$17:$L$17,1)+1)-INDEX('Исходные кривые'!$B$19:$L$19,1,MATCH(C31,'Исходные кривые'!$B$17:$L$17,1)))/(INDEX('Исходные кривые'!$B$17:$L$17,1,MATCH(C31,'Исходные кривые'!$B$17:$L$17,1)+1)-INDEX('Исходные кривые'!$B$17:$L$17,1,MATCH(C31,'Исходные кривые'!$B$17:$L$17,1)))))</f>
        <v>-2.7667123287671238</v>
      </c>
    </row>
    <row r="32" spans="1:9">
      <c r="A32" s="19">
        <v>47787</v>
      </c>
      <c r="B32" s="25">
        <f>A32-Настройки!$B$4</f>
        <v>1584</v>
      </c>
      <c r="C32" s="26">
        <f>B32/Настройки!$B$5</f>
        <v>4.3397260273972602</v>
      </c>
      <c r="D32" s="26">
        <f>IF(C32&lt;=MIN('Исходные кривые'!$B$4:$L$4),INDEX('Исходные кривые'!$B$5:$L$5,1,1),IF(C32&gt;=MAX('Исходные кривые'!$B$4:$L$4),INDEX('Исходные кривые'!$B$5:$L$5,1,COLUMNS('Исходные кривые'!$B$5:$L$5)),INDEX('Исходные кривые'!$B$5:$L$5,1,MATCH(C32,'Исходные кривые'!$B$4:$L$4,1))+(C32-INDEX('Исходные кривые'!$B$4:$L$4,1,MATCH(C32,'Исходные кривые'!$B$4:$L$4,1)))*(INDEX('Исходные кривые'!$B$5:$L$5,1,MATCH(C32,'Исходные кривые'!$B$4:$L$4,1)+1)-INDEX('Исходные кривые'!$B$5:$L$5,1,MATCH(C32,'Исходные кривые'!$B$4:$L$4,1)))/(INDEX('Исходные кривые'!$B$4:$L$4,1,MATCH(C32,'Исходные кривые'!$B$4:$L$4,1)+1)-INDEX('Исходные кривые'!$B$4:$L$4,1,MATCH(C32,'Исходные кривые'!$B$4:$L$4,1)))))</f>
        <v>15.106369863013699</v>
      </c>
      <c r="E32" s="26">
        <f>IF(C32&lt;=MIN('Исходные кривые'!$B$8:$N$8),INDEX('Исходные кривые'!$B$9:$N$9,1,1),IF(C32&gt;=MAX('Исходные кривые'!$B$8:$N$8),INDEX('Исходные кривые'!$B$9:$N$9,1,COLUMNS('Исходные кривые'!$B$9:$N$9)),INDEX('Исходные кривые'!$B$9:$N$9,1,MATCH(C32,'Исходные кривые'!$B$8:$N$8,1))+(C32-INDEX('Исходные кривые'!$B$8:$N$8,1,MATCH(C32,'Исходные кривые'!$B$8:$N$8,1)))*(INDEX('Исходные кривые'!$B$9:$N$9,1,MATCH(C32,'Исходные кривые'!$B$8:$N$8,1)+1)-INDEX('Исходные кривые'!$B$9:$N$9,1,MATCH(C32,'Исходные кривые'!$B$8:$N$8,1)))/(INDEX('Исходные кривые'!$B$8:$N$8,1,MATCH(C32,'Исходные кривые'!$B$8:$N$8,1)+1)-INDEX('Исходные кривые'!$B$8:$N$8,1,MATCH(C32,'Исходные кривые'!$B$8:$N$8,1)))))</f>
        <v>17.1063698630137</v>
      </c>
      <c r="F32" s="26">
        <f>IF(C32&lt;=MIN('Исходные кривые'!$B$12:$K$12),INDEX('Исходные кривые'!$B$13:$K$13,1,1),IF(C32&gt;=MAX('Исходные кривые'!$B$12:$K$12),INDEX('Исходные кривые'!$B$13:$K$13,1,COLUMNS('Исходные кривые'!$B$13:$K$13)),INDEX('Исходные кривые'!$B$13:$K$13,1,MATCH(C32,'Исходные кривые'!$B$12:$K$12,1))+(C32-INDEX('Исходные кривые'!$B$12:$K$12,1,MATCH(C32,'Исходные кривые'!$B$12:$K$12,1)))*(INDEX('Исходные кривые'!$B$13:$K$13,1,MATCH(C32,'Исходные кривые'!$B$12:$K$12,1)+1)-INDEX('Исходные кривые'!$B$13:$K$13,1,MATCH(C32,'Исходные кривые'!$B$12:$K$12,1)))/(INDEX('Исходные кривые'!$B$12:$K$12,1,MATCH(C32,'Исходные кривые'!$B$12:$K$12,1)+1)-INDEX('Исходные кривые'!$B$12:$K$12,1,MATCH(C32,'Исходные кривые'!$B$12:$K$12,1)))))</f>
        <v>49.980821917808221</v>
      </c>
      <c r="G32" s="26">
        <f>IF(C32&lt;=MIN('Исходные кривые'!$B$12:$K$12),INDEX('Исходные кривые'!$B$14:$K$14,1,1),IF(C32&gt;=MAX('Исходные кривые'!$B$12:$K$12),INDEX('Исходные кривые'!$B$14:$K$14,1,COLUMNS('Исходные кривые'!$B$14:$K$14)),INDEX('Исходные кривые'!$B$14:$K$14,1,MATCH(C32,'Исходные кривые'!$B$12:$K$12,1))+(C32-INDEX('Исходные кривые'!$B$12:$K$12,1,MATCH(C32,'Исходные кривые'!$B$12:$K$12,1)))*(INDEX('Исходные кривые'!$B$14:$K$14,1,MATCH(C32,'Исходные кривые'!$B$12:$K$12,1)+1)-INDEX('Исходные кривые'!$B$14:$K$14,1,MATCH(C32,'Исходные кривые'!$B$12:$K$12,1)))/(INDEX('Исходные кривые'!$B$12:$K$12,1,MATCH(C32,'Исходные кривые'!$B$12:$K$12,1)+1)-INDEX('Исходные кривые'!$B$12:$K$12,1,MATCH(C32,'Исходные кривые'!$B$12:$K$12,1)))))</f>
        <v>-27.330136986301369</v>
      </c>
      <c r="H32" s="26">
        <f>IF(C32&lt;=MIN('Исходные кривые'!$B$17:$L$17),INDEX('Исходные кривые'!$B$18:$L$18,1,1),IF(C32&gt;=MAX('Исходные кривые'!$B$17:$L$17),INDEX('Исходные кривые'!$B$18:$L$18,1,COLUMNS('Исходные кривые'!$B$18:$L$18)),INDEX('Исходные кривые'!$B$18:$L$18,1,MATCH(C32,'Исходные кривые'!$B$17:$L$17,1))+(C32-INDEX('Исходные кривые'!$B$17:$L$17,1,MATCH(C32,'Исходные кривые'!$B$17:$L$17,1)))*(INDEX('Исходные кривые'!$B$18:$L$18,1,MATCH(C32,'Исходные кривые'!$B$17:$L$17,1)+1)-INDEX('Исходные кривые'!$B$18:$L$18,1,MATCH(C32,'Исходные кривые'!$B$17:$L$17,1)))/(INDEX('Исходные кривые'!$B$17:$L$17,1,MATCH(C32,'Исходные кривые'!$B$17:$L$17,1)+1)-INDEX('Исходные кривые'!$B$17:$L$17,1,MATCH(C32,'Исходные кривые'!$B$17:$L$17,1)))))</f>
        <v>5.8952054794520556</v>
      </c>
      <c r="I32" s="26">
        <f>IF(C32&lt;=MIN('Исходные кривые'!$B$17:$L$17),INDEX('Исходные кривые'!$B$19:$L$19,1,1),IF(C32&gt;=MAX('Исходные кривые'!$B$17:$L$17),INDEX('Исходные кривые'!$B$19:$L$19,1,COLUMNS('Исходные кривые'!$B$19:$L$19)),INDEX('Исходные кривые'!$B$19:$L$19,1,MATCH(C32,'Исходные кривые'!$B$17:$L$17,1))+(C32-INDEX('Исходные кривые'!$B$17:$L$17,1,MATCH(C32,'Исходные кривые'!$B$17:$L$17,1)))*(INDEX('Исходные кривые'!$B$19:$L$19,1,MATCH(C32,'Исходные кривые'!$B$17:$L$17,1)+1)-INDEX('Исходные кривые'!$B$19:$L$19,1,MATCH(C32,'Исходные кривые'!$B$17:$L$17,1)))/(INDEX('Исходные кривые'!$B$17:$L$17,1,MATCH(C32,'Исходные кривые'!$B$17:$L$17,1)+1)-INDEX('Исходные кривые'!$B$17:$L$17,1,MATCH(C32,'Исходные кривые'!$B$17:$L$17,1)))))</f>
        <v>-2.5272602739726029</v>
      </c>
    </row>
    <row r="33" spans="1:9">
      <c r="A33" s="19">
        <v>47879</v>
      </c>
      <c r="B33" s="25">
        <f>A33-Настройки!$B$4</f>
        <v>1676</v>
      </c>
      <c r="C33" s="26">
        <f>B33/Настройки!$B$5</f>
        <v>4.5917808219178085</v>
      </c>
      <c r="D33" s="26">
        <f>IF(C33&lt;=MIN('Исходные кривые'!$B$4:$L$4),INDEX('Исходные кривые'!$B$5:$L$5,1,1),IF(C33&gt;=MAX('Исходные кривые'!$B$4:$L$4),INDEX('Исходные кривые'!$B$5:$L$5,1,COLUMNS('Исходные кривые'!$B$5:$L$5)),INDEX('Исходные кривые'!$B$5:$L$5,1,MATCH(C33,'Исходные кривые'!$B$4:$L$4,1))+(C33-INDEX('Исходные кривые'!$B$4:$L$4,1,MATCH(C33,'Исходные кривые'!$B$4:$L$4,1)))*(INDEX('Исходные кривые'!$B$5:$L$5,1,MATCH(C33,'Исходные кривые'!$B$4:$L$4,1)+1)-INDEX('Исходные кривые'!$B$5:$L$5,1,MATCH(C33,'Исходные кривые'!$B$4:$L$4,1)))/(INDEX('Исходные кривые'!$B$4:$L$4,1,MATCH(C33,'Исходные кривые'!$B$4:$L$4,1)+1)-INDEX('Исходные кривые'!$B$4:$L$4,1,MATCH(C33,'Исходные кривые'!$B$4:$L$4,1)))))</f>
        <v>15.22609589041096</v>
      </c>
      <c r="E33" s="26">
        <f>IF(C33&lt;=MIN('Исходные кривые'!$B$8:$N$8),INDEX('Исходные кривые'!$B$9:$N$9,1,1),IF(C33&gt;=MAX('Исходные кривые'!$B$8:$N$8),INDEX('Исходные кривые'!$B$9:$N$9,1,COLUMNS('Исходные кривые'!$B$9:$N$9)),INDEX('Исходные кривые'!$B$9:$N$9,1,MATCH(C33,'Исходные кривые'!$B$8:$N$8,1))+(C33-INDEX('Исходные кривые'!$B$8:$N$8,1,MATCH(C33,'Исходные кривые'!$B$8:$N$8,1)))*(INDEX('Исходные кривые'!$B$9:$N$9,1,MATCH(C33,'Исходные кривые'!$B$8:$N$8,1)+1)-INDEX('Исходные кривые'!$B$9:$N$9,1,MATCH(C33,'Исходные кривые'!$B$8:$N$8,1)))/(INDEX('Исходные кривые'!$B$8:$N$8,1,MATCH(C33,'Исходные кривые'!$B$8:$N$8,1)+1)-INDEX('Исходные кривые'!$B$8:$N$8,1,MATCH(C33,'Исходные кривые'!$B$8:$N$8,1)))))</f>
        <v>17.22609589041096</v>
      </c>
      <c r="F33" s="26">
        <f>IF(C33&lt;=MIN('Исходные кривые'!$B$12:$K$12),INDEX('Исходные кривые'!$B$13:$K$13,1,1),IF(C33&gt;=MAX('Исходные кривые'!$B$12:$K$12),INDEX('Исходные кривые'!$B$13:$K$13,1,COLUMNS('Исходные кривые'!$B$13:$K$13)),INDEX('Исходные кривые'!$B$13:$K$13,1,MATCH(C33,'Исходные кривые'!$B$12:$K$12,1))+(C33-INDEX('Исходные кривые'!$B$12:$K$12,1,MATCH(C33,'Исходные кривые'!$B$12:$K$12,1)))*(INDEX('Исходные кривые'!$B$13:$K$13,1,MATCH(C33,'Исходные кривые'!$B$12:$K$12,1)+1)-INDEX('Исходные кривые'!$B$13:$K$13,1,MATCH(C33,'Исходные кривые'!$B$12:$K$12,1)))/(INDEX('Исходные кривые'!$B$12:$K$12,1,MATCH(C33,'Исходные кривые'!$B$12:$K$12,1)+1)-INDEX('Исходные кривые'!$B$12:$K$12,1,MATCH(C33,'Исходные кривые'!$B$12:$K$12,1)))))</f>
        <v>49.224657534246575</v>
      </c>
      <c r="G33" s="26">
        <f>IF(C33&lt;=MIN('Исходные кривые'!$B$12:$K$12),INDEX('Исходные кривые'!$B$14:$K$14,1,1),IF(C33&gt;=MAX('Исходные кривые'!$B$12:$K$12),INDEX('Исходные кривые'!$B$14:$K$14,1,COLUMNS('Исходные кривые'!$B$14:$K$14)),INDEX('Исходные кривые'!$B$14:$K$14,1,MATCH(C33,'Исходные кривые'!$B$12:$K$12,1))+(C33-INDEX('Исходные кривые'!$B$12:$K$12,1,MATCH(C33,'Исходные кривые'!$B$12:$K$12,1)))*(INDEX('Исходные кривые'!$B$14:$K$14,1,MATCH(C33,'Исходные кривые'!$B$12:$K$12,1)+1)-INDEX('Исходные кривые'!$B$14:$K$14,1,MATCH(C33,'Исходные кривые'!$B$12:$K$12,1)))/(INDEX('Исходные кривые'!$B$12:$K$12,1,MATCH(C33,'Исходные кривые'!$B$12:$K$12,1)+1)-INDEX('Исходные кривые'!$B$12:$K$12,1,MATCH(C33,'Исходные кривые'!$B$12:$K$12,1)))))</f>
        <v>-27.204109589041096</v>
      </c>
      <c r="H33" s="26">
        <f>IF(C33&lt;=MIN('Исходные кривые'!$B$17:$L$17),INDEX('Исходные кривые'!$B$18:$L$18,1,1),IF(C33&gt;=MAX('Исходные кривые'!$B$17:$L$17),INDEX('Исходные кривые'!$B$18:$L$18,1,COLUMNS('Исходные кривые'!$B$18:$L$18)),INDEX('Исходные кривые'!$B$18:$L$18,1,MATCH(C33,'Исходные кривые'!$B$17:$L$17,1))+(C33-INDEX('Исходные кривые'!$B$17:$L$17,1,MATCH(C33,'Исходные кривые'!$B$17:$L$17,1)))*(INDEX('Исходные кривые'!$B$18:$L$18,1,MATCH(C33,'Исходные кривые'!$B$17:$L$17,1)+1)-INDEX('Исходные кривые'!$B$18:$L$18,1,MATCH(C33,'Исходные кривые'!$B$17:$L$17,1)))/(INDEX('Исходные кривые'!$B$17:$L$17,1,MATCH(C33,'Исходные кривые'!$B$17:$L$17,1)+1)-INDEX('Исходные кривые'!$B$17:$L$17,1,MATCH(C33,'Исходные кривые'!$B$17:$L$17,1)))))</f>
        <v>5.706164383561644</v>
      </c>
      <c r="I33" s="26">
        <f>IF(C33&lt;=MIN('Исходные кривые'!$B$17:$L$17),INDEX('Исходные кривые'!$B$19:$L$19,1,1),IF(C33&gt;=MAX('Исходные кривые'!$B$17:$L$17),INDEX('Исходные кривые'!$B$19:$L$19,1,COLUMNS('Исходные кривые'!$B$19:$L$19)),INDEX('Исходные кривые'!$B$19:$L$19,1,MATCH(C33,'Исходные кривые'!$B$17:$L$17,1))+(C33-INDEX('Исходные кривые'!$B$17:$L$17,1,MATCH(C33,'Исходные кривые'!$B$17:$L$17,1)))*(INDEX('Исходные кривые'!$B$19:$L$19,1,MATCH(C33,'Исходные кривые'!$B$17:$L$17,1)+1)-INDEX('Исходные кривые'!$B$19:$L$19,1,MATCH(C33,'Исходные кривые'!$B$17:$L$17,1)))/(INDEX('Исходные кривые'!$B$17:$L$17,1,MATCH(C33,'Исходные кривые'!$B$17:$L$17,1)+1)-INDEX('Исходные кривые'!$B$17:$L$17,1,MATCH(C33,'Исходные кривые'!$B$17:$L$17,1)))))</f>
        <v>-2.287808219178082</v>
      </c>
    </row>
    <row r="34" spans="1:9">
      <c r="A34" s="19">
        <v>47970</v>
      </c>
      <c r="B34" s="25">
        <f>A34-Настройки!$B$4</f>
        <v>1767</v>
      </c>
      <c r="C34" s="26">
        <f>B34/Настройки!$B$5</f>
        <v>4.8410958904109593</v>
      </c>
      <c r="D34" s="26">
        <f>IF(C34&lt;=MIN('Исходные кривые'!$B$4:$L$4),INDEX('Исходные кривые'!$B$5:$L$5,1,1),IF(C34&gt;=MAX('Исходные кривые'!$B$4:$L$4),INDEX('Исходные кривые'!$B$5:$L$5,1,COLUMNS('Исходные кривые'!$B$5:$L$5)),INDEX('Исходные кривые'!$B$5:$L$5,1,MATCH(C34,'Исходные кривые'!$B$4:$L$4,1))+(C34-INDEX('Исходные кривые'!$B$4:$L$4,1,MATCH(C34,'Исходные кривые'!$B$4:$L$4,1)))*(INDEX('Исходные кривые'!$B$5:$L$5,1,MATCH(C34,'Исходные кривые'!$B$4:$L$4,1)+1)-INDEX('Исходные кривые'!$B$5:$L$5,1,MATCH(C34,'Исходные кривые'!$B$4:$L$4,1)))/(INDEX('Исходные кривые'!$B$4:$L$4,1,MATCH(C34,'Исходные кривые'!$B$4:$L$4,1)+1)-INDEX('Исходные кривые'!$B$4:$L$4,1,MATCH(C34,'Исходные кривые'!$B$4:$L$4,1)))))</f>
        <v>15.344520547945205</v>
      </c>
      <c r="E34" s="26">
        <f>IF(C34&lt;=MIN('Исходные кривые'!$B$8:$N$8),INDEX('Исходные кривые'!$B$9:$N$9,1,1),IF(C34&gt;=MAX('Исходные кривые'!$B$8:$N$8),INDEX('Исходные кривые'!$B$9:$N$9,1,COLUMNS('Исходные кривые'!$B$9:$N$9)),INDEX('Исходные кривые'!$B$9:$N$9,1,MATCH(C34,'Исходные кривые'!$B$8:$N$8,1))+(C34-INDEX('Исходные кривые'!$B$8:$N$8,1,MATCH(C34,'Исходные кривые'!$B$8:$N$8,1)))*(INDEX('Исходные кривые'!$B$9:$N$9,1,MATCH(C34,'Исходные кривые'!$B$8:$N$8,1)+1)-INDEX('Исходные кривые'!$B$9:$N$9,1,MATCH(C34,'Исходные кривые'!$B$8:$N$8,1)))/(INDEX('Исходные кривые'!$B$8:$N$8,1,MATCH(C34,'Исходные кривые'!$B$8:$N$8,1)+1)-INDEX('Исходные кривые'!$B$8:$N$8,1,MATCH(C34,'Исходные кривые'!$B$8:$N$8,1)))))</f>
        <v>17.344520547945208</v>
      </c>
      <c r="F34" s="26">
        <f>IF(C34&lt;=MIN('Исходные кривые'!$B$12:$K$12),INDEX('Исходные кривые'!$B$13:$K$13,1,1),IF(C34&gt;=MAX('Исходные кривые'!$B$12:$K$12),INDEX('Исходные кривые'!$B$13:$K$13,1,COLUMNS('Исходные кривые'!$B$13:$K$13)),INDEX('Исходные кривые'!$B$13:$K$13,1,MATCH(C34,'Исходные кривые'!$B$12:$K$12,1))+(C34-INDEX('Исходные кривые'!$B$12:$K$12,1,MATCH(C34,'Исходные кривые'!$B$12:$K$12,1)))*(INDEX('Исходные кривые'!$B$13:$K$13,1,MATCH(C34,'Исходные кривые'!$B$12:$K$12,1)+1)-INDEX('Исходные кривые'!$B$13:$K$13,1,MATCH(C34,'Исходные кривые'!$B$12:$K$12,1)))/(INDEX('Исходные кривые'!$B$12:$K$12,1,MATCH(C34,'Исходные кривые'!$B$12:$K$12,1)+1)-INDEX('Исходные кривые'!$B$12:$K$12,1,MATCH(C34,'Исходные кривые'!$B$12:$K$12,1)))))</f>
        <v>48.476712328767121</v>
      </c>
      <c r="G34" s="26">
        <f>IF(C34&lt;=MIN('Исходные кривые'!$B$12:$K$12),INDEX('Исходные кривые'!$B$14:$K$14,1,1),IF(C34&gt;=MAX('Исходные кривые'!$B$12:$K$12),INDEX('Исходные кривые'!$B$14:$K$14,1,COLUMNS('Исходные кривые'!$B$14:$K$14)),INDEX('Исходные кривые'!$B$14:$K$14,1,MATCH(C34,'Исходные кривые'!$B$12:$K$12,1))+(C34-INDEX('Исходные кривые'!$B$12:$K$12,1,MATCH(C34,'Исходные кривые'!$B$12:$K$12,1)))*(INDEX('Исходные кривые'!$B$14:$K$14,1,MATCH(C34,'Исходные кривые'!$B$12:$K$12,1)+1)-INDEX('Исходные кривые'!$B$14:$K$14,1,MATCH(C34,'Исходные кривые'!$B$12:$K$12,1)))/(INDEX('Исходные кривые'!$B$12:$K$12,1,MATCH(C34,'Исходные кривые'!$B$12:$K$12,1)+1)-INDEX('Исходные кривые'!$B$12:$K$12,1,MATCH(C34,'Исходные кривые'!$B$12:$K$12,1)))))</f>
        <v>-27.079452054794519</v>
      </c>
      <c r="H34" s="26">
        <f>IF(C34&lt;=MIN('Исходные кривые'!$B$17:$L$17),INDEX('Исходные кривые'!$B$18:$L$18,1,1),IF(C34&gt;=MAX('Исходные кривые'!$B$17:$L$17),INDEX('Исходные кривые'!$B$18:$L$18,1,COLUMNS('Исходные кривые'!$B$18:$L$18)),INDEX('Исходные кривые'!$B$18:$L$18,1,MATCH(C34,'Исходные кривые'!$B$17:$L$17,1))+(C34-INDEX('Исходные кривые'!$B$17:$L$17,1,MATCH(C34,'Исходные кривые'!$B$17:$L$17,1)))*(INDEX('Исходные кривые'!$B$18:$L$18,1,MATCH(C34,'Исходные кривые'!$B$17:$L$17,1)+1)-INDEX('Исходные кривые'!$B$18:$L$18,1,MATCH(C34,'Исходные кривые'!$B$17:$L$17,1)))/(INDEX('Исходные кривые'!$B$17:$L$17,1,MATCH(C34,'Исходные кривые'!$B$17:$L$17,1)+1)-INDEX('Исходные кривые'!$B$17:$L$17,1,MATCH(C34,'Исходные кривые'!$B$17:$L$17,1)))))</f>
        <v>5.5191780821917806</v>
      </c>
      <c r="I34" s="26">
        <f>IF(C34&lt;=MIN('Исходные кривые'!$B$17:$L$17),INDEX('Исходные кривые'!$B$19:$L$19,1,1),IF(C34&gt;=MAX('Исходные кривые'!$B$17:$L$17),INDEX('Исходные кривые'!$B$19:$L$19,1,COLUMNS('Исходные кривые'!$B$19:$L$19)),INDEX('Исходные кривые'!$B$19:$L$19,1,MATCH(C34,'Исходные кривые'!$B$17:$L$17,1))+(C34-INDEX('Исходные кривые'!$B$17:$L$17,1,MATCH(C34,'Исходные кривые'!$B$17:$L$17,1)))*(INDEX('Исходные кривые'!$B$19:$L$19,1,MATCH(C34,'Исходные кривые'!$B$17:$L$17,1)+1)-INDEX('Исходные кривые'!$B$19:$L$19,1,MATCH(C34,'Исходные кривые'!$B$17:$L$17,1)))/(INDEX('Исходные кривые'!$B$17:$L$17,1,MATCH(C34,'Исходные кривые'!$B$17:$L$17,1)+1)-INDEX('Исходные кривые'!$B$17:$L$17,1,MATCH(C34,'Исходные кривые'!$B$17:$L$17,1)))))</f>
        <v>-2.0509589041095886</v>
      </c>
    </row>
    <row r="35" spans="1:9">
      <c r="A35" s="19">
        <v>48060</v>
      </c>
      <c r="B35" s="25">
        <f>A35-Настройки!$B$4</f>
        <v>1857</v>
      </c>
      <c r="C35" s="26">
        <f>B35/Настройки!$B$5</f>
        <v>5.087671232876712</v>
      </c>
      <c r="D35" s="26">
        <f>IF(C35&lt;=MIN('Исходные кривые'!$B$4:$L$4),INDEX('Исходные кривые'!$B$5:$L$5,1,1),IF(C35&gt;=MAX('Исходные кривые'!$B$4:$L$4),INDEX('Исходные кривые'!$B$5:$L$5,1,COLUMNS('Исходные кривые'!$B$5:$L$5)),INDEX('Исходные кривые'!$B$5:$L$5,1,MATCH(C35,'Исходные кривые'!$B$4:$L$4,1))+(C35-INDEX('Исходные кривые'!$B$4:$L$4,1,MATCH(C35,'Исходные кривые'!$B$4:$L$4,1)))*(INDEX('Исходные кривые'!$B$5:$L$5,1,MATCH(C35,'Исходные кривые'!$B$4:$L$4,1)+1)-INDEX('Исходные кривые'!$B$5:$L$5,1,MATCH(C35,'Исходные кривые'!$B$4:$L$4,1)))/(INDEX('Исходные кривые'!$B$4:$L$4,1,MATCH(C35,'Исходные кривые'!$B$4:$L$4,1)+1)-INDEX('Исходные кривые'!$B$4:$L$4,1,MATCH(C35,'Исходные кривые'!$B$4:$L$4,1)))))</f>
        <v>15.44454794520548</v>
      </c>
      <c r="E35" s="26">
        <f>IF(C35&lt;=MIN('Исходные кривые'!$B$8:$N$8),INDEX('Исходные кривые'!$B$9:$N$9,1,1),IF(C35&gt;=MAX('Исходные кривые'!$B$8:$N$8),INDEX('Исходные кривые'!$B$9:$N$9,1,COLUMNS('Исходные кривые'!$B$9:$N$9)),INDEX('Исходные кривые'!$B$9:$N$9,1,MATCH(C35,'Исходные кривые'!$B$8:$N$8,1))+(C35-INDEX('Исходные кривые'!$B$8:$N$8,1,MATCH(C35,'Исходные кривые'!$B$8:$N$8,1)))*(INDEX('Исходные кривые'!$B$9:$N$9,1,MATCH(C35,'Исходные кривые'!$B$8:$N$8,1)+1)-INDEX('Исходные кривые'!$B$9:$N$9,1,MATCH(C35,'Исходные кривые'!$B$8:$N$8,1)))/(INDEX('Исходные кривые'!$B$8:$N$8,1,MATCH(C35,'Исходные кривые'!$B$8:$N$8,1)+1)-INDEX('Исходные кривые'!$B$8:$N$8,1,MATCH(C35,'Исходные кривые'!$B$8:$N$8,1)))))</f>
        <v>17.444547945205482</v>
      </c>
      <c r="F35" s="26">
        <f>IF(C35&lt;=MIN('Исходные кривые'!$B$12:$K$12),INDEX('Исходные кривые'!$B$13:$K$13,1,1),IF(C35&gt;=MAX('Исходные кривые'!$B$12:$K$12),INDEX('Исходные кривые'!$B$13:$K$13,1,COLUMNS('Исходные кривые'!$B$13:$K$13)),INDEX('Исходные кривые'!$B$13:$K$13,1,MATCH(C35,'Исходные кривые'!$B$12:$K$12,1))+(C35-INDEX('Исходные кривые'!$B$12:$K$12,1,MATCH(C35,'Исходные кривые'!$B$12:$K$12,1)))*(INDEX('Исходные кривые'!$B$13:$K$13,1,MATCH(C35,'Исходные кривые'!$B$12:$K$12,1)+1)-INDEX('Исходные кривые'!$B$13:$K$13,1,MATCH(C35,'Исходные кривые'!$B$12:$K$12,1)))/(INDEX('Исходные кривые'!$B$12:$K$12,1,MATCH(C35,'Исходные кривые'!$B$12:$K$12,1)+1)-INDEX('Исходные кривые'!$B$12:$K$12,1,MATCH(C35,'Исходные кривые'!$B$12:$K$12,1)))))</f>
        <v>47.736986301369868</v>
      </c>
      <c r="G35" s="26">
        <f>IF(C35&lt;=MIN('Исходные кривые'!$B$12:$K$12),INDEX('Исходные кривые'!$B$14:$K$14,1,1),IF(C35&gt;=MAX('Исходные кривые'!$B$12:$K$12),INDEX('Исходные кривые'!$B$14:$K$14,1,COLUMNS('Исходные кривые'!$B$14:$K$14)),INDEX('Исходные кривые'!$B$14:$K$14,1,MATCH(C35,'Исходные кривые'!$B$12:$K$12,1))+(C35-INDEX('Исходные кривые'!$B$12:$K$12,1,MATCH(C35,'Исходные кривые'!$B$12:$K$12,1)))*(INDEX('Исходные кривые'!$B$14:$K$14,1,MATCH(C35,'Исходные кривые'!$B$12:$K$12,1)+1)-INDEX('Исходные кривые'!$B$14:$K$14,1,MATCH(C35,'Исходные кривые'!$B$12:$K$12,1)))/(INDEX('Исходные кривые'!$B$12:$K$12,1,MATCH(C35,'Исходные кривые'!$B$12:$K$12,1)+1)-INDEX('Исходные кривые'!$B$12:$K$12,1,MATCH(C35,'Исходные кривые'!$B$12:$K$12,1)))))</f>
        <v>-26.956164383561642</v>
      </c>
      <c r="H35" s="26">
        <f>IF(C35&lt;=MIN('Исходные кривые'!$B$17:$L$17),INDEX('Исходные кривые'!$B$18:$L$18,1,1),IF(C35&gt;=MAX('Исходные кривые'!$B$17:$L$17),INDEX('Исходные кривые'!$B$18:$L$18,1,COLUMNS('Исходные кривые'!$B$18:$L$18)),INDEX('Исходные кривые'!$B$18:$L$18,1,MATCH(C35,'Исходные кривые'!$B$17:$L$17,1))+(C35-INDEX('Исходные кривые'!$B$17:$L$17,1,MATCH(C35,'Исходные кривые'!$B$17:$L$17,1)))*(INDEX('Исходные кривые'!$B$18:$L$18,1,MATCH(C35,'Исходные кривые'!$B$17:$L$17,1)+1)-INDEX('Исходные кривые'!$B$18:$L$18,1,MATCH(C35,'Исходные кривые'!$B$17:$L$17,1)))/(INDEX('Исходные кривые'!$B$17:$L$17,1,MATCH(C35,'Исходные кривые'!$B$17:$L$17,1)+1)-INDEX('Исходные кривые'!$B$17:$L$17,1,MATCH(C35,'Исходные кривые'!$B$17:$L$17,1)))))</f>
        <v>5.4</v>
      </c>
      <c r="I35" s="26">
        <f>IF(C35&lt;=MIN('Исходные кривые'!$B$17:$L$17),INDEX('Исходные кривые'!$B$19:$L$19,1,1),IF(C35&gt;=MAX('Исходные кривые'!$B$17:$L$17),INDEX('Исходные кривые'!$B$19:$L$19,1,COLUMNS('Исходные кривые'!$B$19:$L$19)),INDEX('Исходные кривые'!$B$19:$L$19,1,MATCH(C35,'Исходные кривые'!$B$17:$L$17,1))+(C35-INDEX('Исходные кривые'!$B$17:$L$17,1,MATCH(C35,'Исходные кривые'!$B$17:$L$17,1)))*(INDEX('Исходные кривые'!$B$19:$L$19,1,MATCH(C35,'Исходные кривые'!$B$17:$L$17,1)+1)-INDEX('Исходные кривые'!$B$19:$L$19,1,MATCH(C35,'Исходные кривые'!$B$17:$L$17,1)))/(INDEX('Исходные кривые'!$B$17:$L$17,1,MATCH(C35,'Исходные кривые'!$B$17:$L$17,1)+1)-INDEX('Исходные кривые'!$B$17:$L$17,1,MATCH(C35,'Исходные кривые'!$B$17:$L$17,1)))))</f>
        <v>-1.9</v>
      </c>
    </row>
    <row r="36" spans="1:9">
      <c r="A36" s="19">
        <v>48152</v>
      </c>
      <c r="B36" s="25">
        <f>A36-Настройки!$B$4</f>
        <v>1949</v>
      </c>
      <c r="C36" s="26">
        <f>B36/Настройки!$B$5</f>
        <v>5.3397260273972602</v>
      </c>
      <c r="D36" s="26">
        <f>IF(C36&lt;=MIN('Исходные кривые'!$B$4:$L$4),INDEX('Исходные кривые'!$B$5:$L$5,1,1),IF(C36&gt;=MAX('Исходные кривые'!$B$4:$L$4),INDEX('Исходные кривые'!$B$5:$L$5,1,COLUMNS('Исходные кривые'!$B$5:$L$5)),INDEX('Исходные кривые'!$B$5:$L$5,1,MATCH(C36,'Исходные кривые'!$B$4:$L$4,1))+(C36-INDEX('Исходные кривые'!$B$4:$L$4,1,MATCH(C36,'Исходные кривые'!$B$4:$L$4,1)))*(INDEX('Исходные кривые'!$B$5:$L$5,1,MATCH(C36,'Исходные кривые'!$B$4:$L$4,1)+1)-INDEX('Исходные кривые'!$B$5:$L$5,1,MATCH(C36,'Исходные кривые'!$B$4:$L$4,1)))/(INDEX('Исходные кривые'!$B$4:$L$4,1,MATCH(C36,'Исходные кривые'!$B$4:$L$4,1)+1)-INDEX('Исходные кривые'!$B$4:$L$4,1,MATCH(C36,'Исходные кривые'!$B$4:$L$4,1)))))</f>
        <v>15.515123287671233</v>
      </c>
      <c r="E36" s="26">
        <f>IF(C36&lt;=MIN('Исходные кривые'!$B$8:$N$8),INDEX('Исходные кривые'!$B$9:$N$9,1,1),IF(C36&gt;=MAX('Исходные кривые'!$B$8:$N$8),INDEX('Исходные кривые'!$B$9:$N$9,1,COLUMNS('Исходные кривые'!$B$9:$N$9)),INDEX('Исходные кривые'!$B$9:$N$9,1,MATCH(C36,'Исходные кривые'!$B$8:$N$8,1))+(C36-INDEX('Исходные кривые'!$B$8:$N$8,1,MATCH(C36,'Исходные кривые'!$B$8:$N$8,1)))*(INDEX('Исходные кривые'!$B$9:$N$9,1,MATCH(C36,'Исходные кривые'!$B$8:$N$8,1)+1)-INDEX('Исходные кривые'!$B$9:$N$9,1,MATCH(C36,'Исходные кривые'!$B$8:$N$8,1)))/(INDEX('Исходные кривые'!$B$8:$N$8,1,MATCH(C36,'Исходные кривые'!$B$8:$N$8,1)+1)-INDEX('Исходные кривые'!$B$8:$N$8,1,MATCH(C36,'Исходные кривые'!$B$8:$N$8,1)))))</f>
        <v>17.515123287671233</v>
      </c>
      <c r="F36" s="26">
        <f>IF(C36&lt;=MIN('Исходные кривые'!$B$12:$K$12),INDEX('Исходные кривые'!$B$13:$K$13,1,1),IF(C36&gt;=MAX('Исходные кривые'!$B$12:$K$12),INDEX('Исходные кривые'!$B$13:$K$13,1,COLUMNS('Исходные кривые'!$B$13:$K$13)),INDEX('Исходные кривые'!$B$13:$K$13,1,MATCH(C36,'Исходные кривые'!$B$12:$K$12,1))+(C36-INDEX('Исходные кривые'!$B$12:$K$12,1,MATCH(C36,'Исходные кривые'!$B$12:$K$12,1)))*(INDEX('Исходные кривые'!$B$13:$K$13,1,MATCH(C36,'Исходные кривые'!$B$12:$K$12,1)+1)-INDEX('Исходные кривые'!$B$13:$K$13,1,MATCH(C36,'Исходные кривые'!$B$12:$K$12,1)))/(INDEX('Исходные кривые'!$B$12:$K$12,1,MATCH(C36,'Исходные кривые'!$B$12:$K$12,1)+1)-INDEX('Исходные кривые'!$B$12:$K$12,1,MATCH(C36,'Исходные кривые'!$B$12:$K$12,1)))))</f>
        <v>46.980821917808221</v>
      </c>
      <c r="G36" s="26">
        <f>IF(C36&lt;=MIN('Исходные кривые'!$B$12:$K$12),INDEX('Исходные кривые'!$B$14:$K$14,1,1),IF(C36&gt;=MAX('Исходные кривые'!$B$12:$K$12),INDEX('Исходные кривые'!$B$14:$K$14,1,COLUMNS('Исходные кривые'!$B$14:$K$14)),INDEX('Исходные кривые'!$B$14:$K$14,1,MATCH(C36,'Исходные кривые'!$B$12:$K$12,1))+(C36-INDEX('Исходные кривые'!$B$12:$K$12,1,MATCH(C36,'Исходные кривые'!$B$12:$K$12,1)))*(INDEX('Исходные кривые'!$B$14:$K$14,1,MATCH(C36,'Исходные кривые'!$B$12:$K$12,1)+1)-INDEX('Исходные кривые'!$B$14:$K$14,1,MATCH(C36,'Исходные кривые'!$B$12:$K$12,1)))/(INDEX('Исходные кривые'!$B$12:$K$12,1,MATCH(C36,'Исходные кривые'!$B$12:$K$12,1)+1)-INDEX('Исходные кривые'!$B$12:$K$12,1,MATCH(C36,'Исходные кривые'!$B$12:$K$12,1)))))</f>
        <v>-26.830136986301369</v>
      </c>
      <c r="H36" s="26">
        <f>IF(C36&lt;=MIN('Исходные кривые'!$B$17:$L$17),INDEX('Исходные кривые'!$B$18:$L$18,1,1),IF(C36&gt;=MAX('Исходные кривые'!$B$17:$L$17),INDEX('Исходные кривые'!$B$18:$L$18,1,COLUMNS('Исходные кривые'!$B$18:$L$18)),INDEX('Исходные кривые'!$B$18:$L$18,1,MATCH(C36,'Исходные кривые'!$B$17:$L$17,1))+(C36-INDEX('Исходные кривые'!$B$17:$L$17,1,MATCH(C36,'Исходные кривые'!$B$17:$L$17,1)))*(INDEX('Исходные кривые'!$B$18:$L$18,1,MATCH(C36,'Исходные кривые'!$B$17:$L$17,1)+1)-INDEX('Исходные кривые'!$B$18:$L$18,1,MATCH(C36,'Исходные кривые'!$B$17:$L$17,1)))/(INDEX('Исходные кривые'!$B$17:$L$17,1,MATCH(C36,'Исходные кривые'!$B$17:$L$17,1)+1)-INDEX('Исходные кривые'!$B$17:$L$17,1,MATCH(C36,'Исходные кривые'!$B$17:$L$17,1)))))</f>
        <v>5.4</v>
      </c>
      <c r="I36" s="26">
        <f>IF(C36&lt;=MIN('Исходные кривые'!$B$17:$L$17),INDEX('Исходные кривые'!$B$19:$L$19,1,1),IF(C36&gt;=MAX('Исходные кривые'!$B$17:$L$17),INDEX('Исходные кривые'!$B$19:$L$19,1,COLUMNS('Исходные кривые'!$B$19:$L$19)),INDEX('Исходные кривые'!$B$19:$L$19,1,MATCH(C36,'Исходные кривые'!$B$17:$L$17,1))+(C36-INDEX('Исходные кривые'!$B$17:$L$17,1,MATCH(C36,'Исходные кривые'!$B$17:$L$17,1)))*(INDEX('Исходные кривые'!$B$19:$L$19,1,MATCH(C36,'Исходные кривые'!$B$17:$L$17,1)+1)-INDEX('Исходные кривые'!$B$19:$L$19,1,MATCH(C36,'Исходные кривые'!$B$17:$L$17,1)))/(INDEX('Исходные кривые'!$B$17:$L$17,1,MATCH(C36,'Исходные кривые'!$B$17:$L$17,1)+1)-INDEX('Исходные кривые'!$B$17:$L$17,1,MATCH(C36,'Исходные кривые'!$B$17:$L$17,1)))))</f>
        <v>-1.9</v>
      </c>
    </row>
    <row r="37" spans="1:9">
      <c r="A37" s="19">
        <v>48244</v>
      </c>
      <c r="B37" s="25">
        <f>A37-Настройки!$B$4</f>
        <v>2041</v>
      </c>
      <c r="C37" s="26">
        <f>B37/Настройки!$B$5</f>
        <v>5.5917808219178085</v>
      </c>
      <c r="D37" s="26">
        <f>IF(C37&lt;=MIN('Исходные кривые'!$B$4:$L$4),INDEX('Исходные кривые'!$B$5:$L$5,1,1),IF(C37&gt;=MAX('Исходные кривые'!$B$4:$L$4),INDEX('Исходные кривые'!$B$5:$L$5,1,COLUMNS('Исходные кривые'!$B$5:$L$5)),INDEX('Исходные кривые'!$B$5:$L$5,1,MATCH(C37,'Исходные кривые'!$B$4:$L$4,1))+(C37-INDEX('Исходные кривые'!$B$4:$L$4,1,MATCH(C37,'Исходные кривые'!$B$4:$L$4,1)))*(INDEX('Исходные кривые'!$B$5:$L$5,1,MATCH(C37,'Исходные кривые'!$B$4:$L$4,1)+1)-INDEX('Исходные кривые'!$B$5:$L$5,1,MATCH(C37,'Исходные кривые'!$B$4:$L$4,1)))/(INDEX('Исходные кривые'!$B$4:$L$4,1,MATCH(C37,'Исходные кривые'!$B$4:$L$4,1)+1)-INDEX('Исходные кривые'!$B$4:$L$4,1,MATCH(C37,'Исходные кривые'!$B$4:$L$4,1)))))</f>
        <v>15.585698630136987</v>
      </c>
      <c r="E37" s="26">
        <f>IF(C37&lt;=MIN('Исходные кривые'!$B$8:$N$8),INDEX('Исходные кривые'!$B$9:$N$9,1,1),IF(C37&gt;=MAX('Исходные кривые'!$B$8:$N$8),INDEX('Исходные кривые'!$B$9:$N$9,1,COLUMNS('Исходные кривые'!$B$9:$N$9)),INDEX('Исходные кривые'!$B$9:$N$9,1,MATCH(C37,'Исходные кривые'!$B$8:$N$8,1))+(C37-INDEX('Исходные кривые'!$B$8:$N$8,1,MATCH(C37,'Исходные кривые'!$B$8:$N$8,1)))*(INDEX('Исходные кривые'!$B$9:$N$9,1,MATCH(C37,'Исходные кривые'!$B$8:$N$8,1)+1)-INDEX('Исходные кривые'!$B$9:$N$9,1,MATCH(C37,'Исходные кривые'!$B$8:$N$8,1)))/(INDEX('Исходные кривые'!$B$8:$N$8,1,MATCH(C37,'Исходные кривые'!$B$8:$N$8,1)+1)-INDEX('Исходные кривые'!$B$8:$N$8,1,MATCH(C37,'Исходные кривые'!$B$8:$N$8,1)))))</f>
        <v>17.585698630136989</v>
      </c>
      <c r="F37" s="26">
        <f>IF(C37&lt;=MIN('Исходные кривые'!$B$12:$K$12),INDEX('Исходные кривые'!$B$13:$K$13,1,1),IF(C37&gt;=MAX('Исходные кривые'!$B$12:$K$12),INDEX('Исходные кривые'!$B$13:$K$13,1,COLUMNS('Исходные кривые'!$B$13:$K$13)),INDEX('Исходные кривые'!$B$13:$K$13,1,MATCH(C37,'Исходные кривые'!$B$12:$K$12,1))+(C37-INDEX('Исходные кривые'!$B$12:$K$12,1,MATCH(C37,'Исходные кривые'!$B$12:$K$12,1)))*(INDEX('Исходные кривые'!$B$13:$K$13,1,MATCH(C37,'Исходные кривые'!$B$12:$K$12,1)+1)-INDEX('Исходные кривые'!$B$13:$K$13,1,MATCH(C37,'Исходные кривые'!$B$12:$K$12,1)))/(INDEX('Исходные кривые'!$B$12:$K$12,1,MATCH(C37,'Исходные кривые'!$B$12:$K$12,1)+1)-INDEX('Исходные кривые'!$B$12:$K$12,1,MATCH(C37,'Исходные кривые'!$B$12:$K$12,1)))))</f>
        <v>46.224657534246575</v>
      </c>
      <c r="G37" s="26">
        <f>IF(C37&lt;=MIN('Исходные кривые'!$B$12:$K$12),INDEX('Исходные кривые'!$B$14:$K$14,1,1),IF(C37&gt;=MAX('Исходные кривые'!$B$12:$K$12),INDEX('Исходные кривые'!$B$14:$K$14,1,COLUMNS('Исходные кривые'!$B$14:$K$14)),INDEX('Исходные кривые'!$B$14:$K$14,1,MATCH(C37,'Исходные кривые'!$B$12:$K$12,1))+(C37-INDEX('Исходные кривые'!$B$12:$K$12,1,MATCH(C37,'Исходные кривые'!$B$12:$K$12,1)))*(INDEX('Исходные кривые'!$B$14:$K$14,1,MATCH(C37,'Исходные кривые'!$B$12:$K$12,1)+1)-INDEX('Исходные кривые'!$B$14:$K$14,1,MATCH(C37,'Исходные кривые'!$B$12:$K$12,1)))/(INDEX('Исходные кривые'!$B$12:$K$12,1,MATCH(C37,'Исходные кривые'!$B$12:$K$12,1)+1)-INDEX('Исходные кривые'!$B$12:$K$12,1,MATCH(C37,'Исходные кривые'!$B$12:$K$12,1)))))</f>
        <v>-26.704109589041096</v>
      </c>
      <c r="H37" s="26">
        <f>IF(C37&lt;=MIN('Исходные кривые'!$B$17:$L$17),INDEX('Исходные кривые'!$B$18:$L$18,1,1),IF(C37&gt;=MAX('Исходные кривые'!$B$17:$L$17),INDEX('Исходные кривые'!$B$18:$L$18,1,COLUMNS('Исходные кривые'!$B$18:$L$18)),INDEX('Исходные кривые'!$B$18:$L$18,1,MATCH(C37,'Исходные кривые'!$B$17:$L$17,1))+(C37-INDEX('Исходные кривые'!$B$17:$L$17,1,MATCH(C37,'Исходные кривые'!$B$17:$L$17,1)))*(INDEX('Исходные кривые'!$B$18:$L$18,1,MATCH(C37,'Исходные кривые'!$B$17:$L$17,1)+1)-INDEX('Исходные кривые'!$B$18:$L$18,1,MATCH(C37,'Исходные кривые'!$B$17:$L$17,1)))/(INDEX('Исходные кривые'!$B$17:$L$17,1,MATCH(C37,'Исходные кривые'!$B$17:$L$17,1)+1)-INDEX('Исходные кривые'!$B$17:$L$17,1,MATCH(C37,'Исходные кривые'!$B$17:$L$17,1)))))</f>
        <v>5.4</v>
      </c>
      <c r="I37" s="26">
        <f>IF(C37&lt;=MIN('Исходные кривые'!$B$17:$L$17),INDEX('Исходные кривые'!$B$19:$L$19,1,1),IF(C37&gt;=MAX('Исходные кривые'!$B$17:$L$17),INDEX('Исходные кривые'!$B$19:$L$19,1,COLUMNS('Исходные кривые'!$B$19:$L$19)),INDEX('Исходные кривые'!$B$19:$L$19,1,MATCH(C37,'Исходные кривые'!$B$17:$L$17,1))+(C37-INDEX('Исходные кривые'!$B$17:$L$17,1,MATCH(C37,'Исходные кривые'!$B$17:$L$17,1)))*(INDEX('Исходные кривые'!$B$19:$L$19,1,MATCH(C37,'Исходные кривые'!$B$17:$L$17,1)+1)-INDEX('Исходные кривые'!$B$19:$L$19,1,MATCH(C37,'Исходные кривые'!$B$17:$L$17,1)))/(INDEX('Исходные кривые'!$B$17:$L$17,1,MATCH(C37,'Исходные кривые'!$B$17:$L$17,1)+1)-INDEX('Исходные кривые'!$B$17:$L$17,1,MATCH(C37,'Исходные кривые'!$B$17:$L$17,1)))))</f>
        <v>-1.9</v>
      </c>
    </row>
    <row r="38" spans="1:9">
      <c r="A38" s="19">
        <v>48336</v>
      </c>
      <c r="B38" s="25">
        <f>A38-Настройки!$B$4</f>
        <v>2133</v>
      </c>
      <c r="C38" s="26">
        <f>B38/Настройки!$B$5</f>
        <v>5.8438356164383558</v>
      </c>
      <c r="D38" s="26">
        <f>IF(C38&lt;=MIN('Исходные кривые'!$B$4:$L$4),INDEX('Исходные кривые'!$B$5:$L$5,1,1),IF(C38&gt;=MAX('Исходные кривые'!$B$4:$L$4),INDEX('Исходные кривые'!$B$5:$L$5,1,COLUMNS('Исходные кривые'!$B$5:$L$5)),INDEX('Исходные кривые'!$B$5:$L$5,1,MATCH(C38,'Исходные кривые'!$B$4:$L$4,1))+(C38-INDEX('Исходные кривые'!$B$4:$L$4,1,MATCH(C38,'Исходные кривые'!$B$4:$L$4,1)))*(INDEX('Исходные кривые'!$B$5:$L$5,1,MATCH(C38,'Исходные кривые'!$B$4:$L$4,1)+1)-INDEX('Исходные кривые'!$B$5:$L$5,1,MATCH(C38,'Исходные кривые'!$B$4:$L$4,1)))/(INDEX('Исходные кривые'!$B$4:$L$4,1,MATCH(C38,'Исходные кривые'!$B$4:$L$4,1)+1)-INDEX('Исходные кривые'!$B$4:$L$4,1,MATCH(C38,'Исходные кривые'!$B$4:$L$4,1)))))</f>
        <v>15.65627397260274</v>
      </c>
      <c r="E38" s="26">
        <f>IF(C38&lt;=MIN('Исходные кривые'!$B$8:$N$8),INDEX('Исходные кривые'!$B$9:$N$9,1,1),IF(C38&gt;=MAX('Исходные кривые'!$B$8:$N$8),INDEX('Исходные кривые'!$B$9:$N$9,1,COLUMNS('Исходные кривые'!$B$9:$N$9)),INDEX('Исходные кривые'!$B$9:$N$9,1,MATCH(C38,'Исходные кривые'!$B$8:$N$8,1))+(C38-INDEX('Исходные кривые'!$B$8:$N$8,1,MATCH(C38,'Исходные кривые'!$B$8:$N$8,1)))*(INDEX('Исходные кривые'!$B$9:$N$9,1,MATCH(C38,'Исходные кривые'!$B$8:$N$8,1)+1)-INDEX('Исходные кривые'!$B$9:$N$9,1,MATCH(C38,'Исходные кривые'!$B$8:$N$8,1)))/(INDEX('Исходные кривые'!$B$8:$N$8,1,MATCH(C38,'Исходные кривые'!$B$8:$N$8,1)+1)-INDEX('Исходные кривые'!$B$8:$N$8,1,MATCH(C38,'Исходные кривые'!$B$8:$N$8,1)))))</f>
        <v>17.65627397260274</v>
      </c>
      <c r="F38" s="26">
        <f>IF(C38&lt;=MIN('Исходные кривые'!$B$12:$K$12),INDEX('Исходные кривые'!$B$13:$K$13,1,1),IF(C38&gt;=MAX('Исходные кривые'!$B$12:$K$12),INDEX('Исходные кривые'!$B$13:$K$13,1,COLUMNS('Исходные кривые'!$B$13:$K$13)),INDEX('Исходные кривые'!$B$13:$K$13,1,MATCH(C38,'Исходные кривые'!$B$12:$K$12,1))+(C38-INDEX('Исходные кривые'!$B$12:$K$12,1,MATCH(C38,'Исходные кривые'!$B$12:$K$12,1)))*(INDEX('Исходные кривые'!$B$13:$K$13,1,MATCH(C38,'Исходные кривые'!$B$12:$K$12,1)+1)-INDEX('Исходные кривые'!$B$13:$K$13,1,MATCH(C38,'Исходные кривые'!$B$12:$K$12,1)))/(INDEX('Исходные кривые'!$B$12:$K$12,1,MATCH(C38,'Исходные кривые'!$B$12:$K$12,1)+1)-INDEX('Исходные кривые'!$B$12:$K$12,1,MATCH(C38,'Исходные кривые'!$B$12:$K$12,1)))))</f>
        <v>45.468493150684935</v>
      </c>
      <c r="G38" s="26">
        <f>IF(C38&lt;=MIN('Исходные кривые'!$B$12:$K$12),INDEX('Исходные кривые'!$B$14:$K$14,1,1),IF(C38&gt;=MAX('Исходные кривые'!$B$12:$K$12),INDEX('Исходные кривые'!$B$14:$K$14,1,COLUMNS('Исходные кривые'!$B$14:$K$14)),INDEX('Исходные кривые'!$B$14:$K$14,1,MATCH(C38,'Исходные кривые'!$B$12:$K$12,1))+(C38-INDEX('Исходные кривые'!$B$12:$K$12,1,MATCH(C38,'Исходные кривые'!$B$12:$K$12,1)))*(INDEX('Исходные кривые'!$B$14:$K$14,1,MATCH(C38,'Исходные кривые'!$B$12:$K$12,1)+1)-INDEX('Исходные кривые'!$B$14:$K$14,1,MATCH(C38,'Исходные кривые'!$B$12:$K$12,1)))/(INDEX('Исходные кривые'!$B$12:$K$12,1,MATCH(C38,'Исходные кривые'!$B$12:$K$12,1)+1)-INDEX('Исходные кривые'!$B$12:$K$12,1,MATCH(C38,'Исходные кривые'!$B$12:$K$12,1)))))</f>
        <v>-26.578082191780823</v>
      </c>
      <c r="H38" s="26">
        <f>IF(C38&lt;=MIN('Исходные кривые'!$B$17:$L$17),INDEX('Исходные кривые'!$B$18:$L$18,1,1),IF(C38&gt;=MAX('Исходные кривые'!$B$17:$L$17),INDEX('Исходные кривые'!$B$18:$L$18,1,COLUMNS('Исходные кривые'!$B$18:$L$18)),INDEX('Исходные кривые'!$B$18:$L$18,1,MATCH(C38,'Исходные кривые'!$B$17:$L$17,1))+(C38-INDEX('Исходные кривые'!$B$17:$L$17,1,MATCH(C38,'Исходные кривые'!$B$17:$L$17,1)))*(INDEX('Исходные кривые'!$B$18:$L$18,1,MATCH(C38,'Исходные кривые'!$B$17:$L$17,1)+1)-INDEX('Исходные кривые'!$B$18:$L$18,1,MATCH(C38,'Исходные кривые'!$B$17:$L$17,1)))/(INDEX('Исходные кривые'!$B$17:$L$17,1,MATCH(C38,'Исходные кривые'!$B$17:$L$17,1)+1)-INDEX('Исходные кривые'!$B$17:$L$17,1,MATCH(C38,'Исходные кривые'!$B$17:$L$17,1)))))</f>
        <v>5.4</v>
      </c>
      <c r="I38" s="26">
        <f>IF(C38&lt;=MIN('Исходные кривые'!$B$17:$L$17),INDEX('Исходные кривые'!$B$19:$L$19,1,1),IF(C38&gt;=MAX('Исходные кривые'!$B$17:$L$17),INDEX('Исходные кривые'!$B$19:$L$19,1,COLUMNS('Исходные кривые'!$B$19:$L$19)),INDEX('Исходные кривые'!$B$19:$L$19,1,MATCH(C38,'Исходные кривые'!$B$17:$L$17,1))+(C38-INDEX('Исходные кривые'!$B$17:$L$17,1,MATCH(C38,'Исходные кривые'!$B$17:$L$17,1)))*(INDEX('Исходные кривые'!$B$19:$L$19,1,MATCH(C38,'Исходные кривые'!$B$17:$L$17,1)+1)-INDEX('Исходные кривые'!$B$19:$L$19,1,MATCH(C38,'Исходные кривые'!$B$17:$L$17,1)))/(INDEX('Исходные кривые'!$B$17:$L$17,1,MATCH(C38,'Исходные кривые'!$B$17:$L$17,1)+1)-INDEX('Исходные кривые'!$B$17:$L$17,1,MATCH(C38,'Исходные кривые'!$B$17:$L$17,1)))))</f>
        <v>-1.9</v>
      </c>
    </row>
    <row r="39" spans="1:9">
      <c r="A39" s="19">
        <v>48426</v>
      </c>
      <c r="B39" s="25">
        <f>A39-Настройки!$B$4</f>
        <v>2223</v>
      </c>
      <c r="C39" s="26">
        <f>B39/Настройки!$B$5</f>
        <v>6.0904109589041093</v>
      </c>
      <c r="D39" s="26">
        <f>IF(C39&lt;=MIN('Исходные кривые'!$B$4:$L$4),INDEX('Исходные кривые'!$B$5:$L$5,1,1),IF(C39&gt;=MAX('Исходные кривые'!$B$4:$L$4),INDEX('Исходные кривые'!$B$5:$L$5,1,COLUMNS('Исходные кривые'!$B$5:$L$5)),INDEX('Исходные кривые'!$B$5:$L$5,1,MATCH(C39,'Исходные кривые'!$B$4:$L$4,1))+(C39-INDEX('Исходные кривые'!$B$4:$L$4,1,MATCH(C39,'Исходные кривые'!$B$4:$L$4,1)))*(INDEX('Исходные кривые'!$B$5:$L$5,1,MATCH(C39,'Исходные кривые'!$B$4:$L$4,1)+1)-INDEX('Исходные кривые'!$B$5:$L$5,1,MATCH(C39,'Исходные кривые'!$B$4:$L$4,1)))/(INDEX('Исходные кривые'!$B$4:$L$4,1,MATCH(C39,'Исходные кривые'!$B$4:$L$4,1)+1)-INDEX('Исходные кривые'!$B$4:$L$4,1,MATCH(C39,'Исходные кривые'!$B$4:$L$4,1)))))</f>
        <v>15.725315068493151</v>
      </c>
      <c r="E39" s="26">
        <f>IF(C39&lt;=MIN('Исходные кривые'!$B$8:$N$8),INDEX('Исходные кривые'!$B$9:$N$9,1,1),IF(C39&gt;=MAX('Исходные кривые'!$B$8:$N$8),INDEX('Исходные кривые'!$B$9:$N$9,1,COLUMNS('Исходные кривые'!$B$9:$N$9)),INDEX('Исходные кривые'!$B$9:$N$9,1,MATCH(C39,'Исходные кривые'!$B$8:$N$8,1))+(C39-INDEX('Исходные кривые'!$B$8:$N$8,1,MATCH(C39,'Исходные кривые'!$B$8:$N$8,1)))*(INDEX('Исходные кривые'!$B$9:$N$9,1,MATCH(C39,'Исходные кривые'!$B$8:$N$8,1)+1)-INDEX('Исходные кривые'!$B$9:$N$9,1,MATCH(C39,'Исходные кривые'!$B$8:$N$8,1)))/(INDEX('Исходные кривые'!$B$8:$N$8,1,MATCH(C39,'Исходные кривые'!$B$8:$N$8,1)+1)-INDEX('Исходные кривые'!$B$8:$N$8,1,MATCH(C39,'Исходные кривые'!$B$8:$N$8,1)))))</f>
        <v>17.725315068493153</v>
      </c>
      <c r="F39" s="26">
        <f>IF(C39&lt;=MIN('Исходные кривые'!$B$12:$K$12),INDEX('Исходные кривые'!$B$13:$K$13,1,1),IF(C39&gt;=MAX('Исходные кривые'!$B$12:$K$12),INDEX('Исходные кривые'!$B$13:$K$13,1,COLUMNS('Исходные кривые'!$B$13:$K$13)),INDEX('Исходные кривые'!$B$13:$K$13,1,MATCH(C39,'Исходные кривые'!$B$12:$K$12,1))+(C39-INDEX('Исходные кривые'!$B$12:$K$12,1,MATCH(C39,'Исходные кривые'!$B$12:$K$12,1)))*(INDEX('Исходные кривые'!$B$13:$K$13,1,MATCH(C39,'Исходные кривые'!$B$12:$K$12,1)+1)-INDEX('Исходные кривые'!$B$13:$K$13,1,MATCH(C39,'Исходные кривые'!$B$12:$K$12,1)))/(INDEX('Исходные кривые'!$B$12:$K$12,1,MATCH(C39,'Исходные кривые'!$B$12:$K$12,1)+1)-INDEX('Исходные кривые'!$B$12:$K$12,1,MATCH(C39,'Исходные кривые'!$B$12:$K$12,1)))))</f>
        <v>44.728767123287675</v>
      </c>
      <c r="G39" s="26">
        <f>IF(C39&lt;=MIN('Исходные кривые'!$B$12:$K$12),INDEX('Исходные кривые'!$B$14:$K$14,1,1),IF(C39&gt;=MAX('Исходные кривые'!$B$12:$K$12),INDEX('Исходные кривые'!$B$14:$K$14,1,COLUMNS('Исходные кривые'!$B$14:$K$14)),INDEX('Исходные кривые'!$B$14:$K$14,1,MATCH(C39,'Исходные кривые'!$B$12:$K$12,1))+(C39-INDEX('Исходные кривые'!$B$12:$K$12,1,MATCH(C39,'Исходные кривые'!$B$12:$K$12,1)))*(INDEX('Исходные кривые'!$B$14:$K$14,1,MATCH(C39,'Исходные кривые'!$B$12:$K$12,1)+1)-INDEX('Исходные кривые'!$B$14:$K$14,1,MATCH(C39,'Исходные кривые'!$B$12:$K$12,1)))/(INDEX('Исходные кривые'!$B$12:$K$12,1,MATCH(C39,'Исходные кривые'!$B$12:$K$12,1)+1)-INDEX('Исходные кривые'!$B$12:$K$12,1,MATCH(C39,'Исходные кривые'!$B$12:$K$12,1)))))</f>
        <v>-26.454794520547946</v>
      </c>
      <c r="H39" s="26">
        <f>IF(C39&lt;=MIN('Исходные кривые'!$B$17:$L$17),INDEX('Исходные кривые'!$B$18:$L$18,1,1),IF(C39&gt;=MAX('Исходные кривые'!$B$17:$L$17),INDEX('Исходные кривые'!$B$18:$L$18,1,COLUMNS('Исходные кривые'!$B$18:$L$18)),INDEX('Исходные кривые'!$B$18:$L$18,1,MATCH(C39,'Исходные кривые'!$B$17:$L$17,1))+(C39-INDEX('Исходные кривые'!$B$17:$L$17,1,MATCH(C39,'Исходные кривые'!$B$17:$L$17,1)))*(INDEX('Исходные кривые'!$B$18:$L$18,1,MATCH(C39,'Исходные кривые'!$B$17:$L$17,1)+1)-INDEX('Исходные кривые'!$B$18:$L$18,1,MATCH(C39,'Исходные кривые'!$B$17:$L$17,1)))/(INDEX('Исходные кривые'!$B$17:$L$17,1,MATCH(C39,'Исходные кривые'!$B$17:$L$17,1)+1)-INDEX('Исходные кривые'!$B$17:$L$17,1,MATCH(C39,'Исходные кривые'!$B$17:$L$17,1)))))</f>
        <v>5.4</v>
      </c>
      <c r="I39" s="26">
        <f>IF(C39&lt;=MIN('Исходные кривые'!$B$17:$L$17),INDEX('Исходные кривые'!$B$19:$L$19,1,1),IF(C39&gt;=MAX('Исходные кривые'!$B$17:$L$17),INDEX('Исходные кривые'!$B$19:$L$19,1,COLUMNS('Исходные кривые'!$B$19:$L$19)),INDEX('Исходные кривые'!$B$19:$L$19,1,MATCH(C39,'Исходные кривые'!$B$17:$L$17,1))+(C39-INDEX('Исходные кривые'!$B$17:$L$17,1,MATCH(C39,'Исходные кривые'!$B$17:$L$17,1)))*(INDEX('Исходные кривые'!$B$19:$L$19,1,MATCH(C39,'Исходные кривые'!$B$17:$L$17,1)+1)-INDEX('Исходные кривые'!$B$19:$L$19,1,MATCH(C39,'Исходные кривые'!$B$17:$L$17,1)))/(INDEX('Исходные кривые'!$B$17:$L$17,1,MATCH(C39,'Исходные кривые'!$B$17:$L$17,1)+1)-INDEX('Исходные кривые'!$B$17:$L$17,1,MATCH(C39,'Исходные кривые'!$B$17:$L$17,1)))))</f>
        <v>-1.9</v>
      </c>
    </row>
    <row r="40" spans="1:9" ht="14.4" thickBot="1">
      <c r="A40" s="20">
        <v>47880</v>
      </c>
      <c r="B40" s="29">
        <f>A40-Настройки!$B$4</f>
        <v>1677</v>
      </c>
      <c r="C40" s="30">
        <f>B40/Настройки!$B$5</f>
        <v>4.5945205479452058</v>
      </c>
      <c r="D40" s="30">
        <f>IF(C40&lt;=MIN('Исходные кривые'!$B$4:$L$4),INDEX('Исходные кривые'!$B$5:$L$5,1,1),IF(C40&gt;=MAX('Исходные кривые'!$B$4:$L$4),INDEX('Исходные кривые'!$B$5:$L$5,1,COLUMNS('Исходные кривые'!$B$5:$L$5)),INDEX('Исходные кривые'!$B$5:$L$5,1,MATCH(C40,'Исходные кривые'!$B$4:$L$4,1))+(C40-INDEX('Исходные кривые'!$B$4:$L$4,1,MATCH(C40,'Исходные кривые'!$B$4:$L$4,1)))*(INDEX('Исходные кривые'!$B$5:$L$5,1,MATCH(C40,'Исходные кривые'!$B$4:$L$4,1)+1)-INDEX('Исходные кривые'!$B$5:$L$5,1,MATCH(C40,'Исходные кривые'!$B$4:$L$4,1)))/(INDEX('Исходные кривые'!$B$4:$L$4,1,MATCH(C40,'Исходные кривые'!$B$4:$L$4,1)+1)-INDEX('Исходные кривые'!$B$4:$L$4,1,MATCH(C40,'Исходные кривые'!$B$4:$L$4,1)))))</f>
        <v>15.227397260273973</v>
      </c>
      <c r="E40" s="30">
        <f>IF(C40&lt;=MIN('Исходные кривые'!$B$8:$N$8),INDEX('Исходные кривые'!$B$9:$N$9,1,1),IF(C40&gt;=MAX('Исходные кривые'!$B$8:$N$8),INDEX('Исходные кривые'!$B$9:$N$9,1,COLUMNS('Исходные кривые'!$B$9:$N$9)),INDEX('Исходные кривые'!$B$9:$N$9,1,MATCH(C40,'Исходные кривые'!$B$8:$N$8,1))+(C40-INDEX('Исходные кривые'!$B$8:$N$8,1,MATCH(C40,'Исходные кривые'!$B$8:$N$8,1)))*(INDEX('Исходные кривые'!$B$9:$N$9,1,MATCH(C40,'Исходные кривые'!$B$8:$N$8,1)+1)-INDEX('Исходные кривые'!$B$9:$N$9,1,MATCH(C40,'Исходные кривые'!$B$8:$N$8,1)))/(INDEX('Исходные кривые'!$B$8:$N$8,1,MATCH(C40,'Исходные кривые'!$B$8:$N$8,1)+1)-INDEX('Исходные кривые'!$B$8:$N$8,1,MATCH(C40,'Исходные кривые'!$B$8:$N$8,1)))))</f>
        <v>17.227397260273975</v>
      </c>
      <c r="F40" s="30">
        <f>IF(C40&lt;=MIN('Исходные кривые'!$B$12:$K$12),INDEX('Исходные кривые'!$B$13:$K$13,1,1),IF(C40&gt;=MAX('Исходные кривые'!$B$12:$K$12),INDEX('Исходные кривые'!$B$13:$K$13,1,COLUMNS('Исходные кривые'!$B$13:$K$13)),INDEX('Исходные кривые'!$B$13:$K$13,1,MATCH(C40,'Исходные кривые'!$B$12:$K$12,1))+(C40-INDEX('Исходные кривые'!$B$12:$K$12,1,MATCH(C40,'Исходные кривые'!$B$12:$K$12,1)))*(INDEX('Исходные кривые'!$B$13:$K$13,1,MATCH(C40,'Исходные кривые'!$B$12:$K$12,1)+1)-INDEX('Исходные кривые'!$B$13:$K$13,1,MATCH(C40,'Исходные кривые'!$B$12:$K$12,1)))/(INDEX('Исходные кривые'!$B$12:$K$12,1,MATCH(C40,'Исходные кривые'!$B$12:$K$12,1)+1)-INDEX('Исходные кривые'!$B$12:$K$12,1,MATCH(C40,'Исходные кривые'!$B$12:$K$12,1)))))</f>
        <v>49.216438356164382</v>
      </c>
      <c r="G40" s="30">
        <f>IF(C40&lt;=MIN('Исходные кривые'!$B$12:$K$12),INDEX('Исходные кривые'!$B$14:$K$14,1,1),IF(C40&gt;=MAX('Исходные кривые'!$B$12:$K$12),INDEX('Исходные кривые'!$B$14:$K$14,1,COLUMNS('Исходные кривые'!$B$14:$K$14)),INDEX('Исходные кривые'!$B$14:$K$14,1,MATCH(C40,'Исходные кривые'!$B$12:$K$12,1))+(C40-INDEX('Исходные кривые'!$B$12:$K$12,1,MATCH(C40,'Исходные кривые'!$B$12:$K$12,1)))*(INDEX('Исходные кривые'!$B$14:$K$14,1,MATCH(C40,'Исходные кривые'!$B$12:$K$12,1)+1)-INDEX('Исходные кривые'!$B$14:$K$14,1,MATCH(C40,'Исходные кривые'!$B$12:$K$12,1)))/(INDEX('Исходные кривые'!$B$12:$K$12,1,MATCH(C40,'Исходные кривые'!$B$12:$K$12,1)+1)-INDEX('Исходные кривые'!$B$12:$K$12,1,MATCH(C40,'Исходные кривые'!$B$12:$K$12,1)))))</f>
        <v>-27.202739726027396</v>
      </c>
      <c r="H40" s="30">
        <f>IF(C40&lt;=MIN('Исходные кривые'!$B$17:$L$17),INDEX('Исходные кривые'!$B$18:$L$18,1,1),IF(C40&gt;=MAX('Исходные кривые'!$B$17:$L$17),INDEX('Исходные кривые'!$B$18:$L$18,1,COLUMNS('Исходные кривые'!$B$18:$L$18)),INDEX('Исходные кривые'!$B$18:$L$18,1,MATCH(C40,'Исходные кривые'!$B$17:$L$17,1))+(C40-INDEX('Исходные кривые'!$B$17:$L$17,1,MATCH(C40,'Исходные кривые'!$B$17:$L$17,1)))*(INDEX('Исходные кривые'!$B$18:$L$18,1,MATCH(C40,'Исходные кривые'!$B$17:$L$17,1)+1)-INDEX('Исходные кривые'!$B$18:$L$18,1,MATCH(C40,'Исходные кривые'!$B$17:$L$17,1)))/(INDEX('Исходные кривые'!$B$17:$L$17,1,MATCH(C40,'Исходные кривые'!$B$17:$L$17,1)+1)-INDEX('Исходные кривые'!$B$17:$L$17,1,MATCH(C40,'Исходные кривые'!$B$17:$L$17,1)))))</f>
        <v>5.7041095890410958</v>
      </c>
      <c r="I40" s="30">
        <f>IF(C40&lt;=MIN('Исходные кривые'!$B$17:$L$17),INDEX('Исходные кривые'!$B$19:$L$19,1,1),IF(C40&gt;=MAX('Исходные кривые'!$B$17:$L$17),INDEX('Исходные кривые'!$B$19:$L$19,1,COLUMNS('Исходные кривые'!$B$19:$L$19)),INDEX('Исходные кривые'!$B$19:$L$19,1,MATCH(C40,'Исходные кривые'!$B$17:$L$17,1))+(C40-INDEX('Исходные кривые'!$B$17:$L$17,1,MATCH(C40,'Исходные кривые'!$B$17:$L$17,1)))*(INDEX('Исходные кривые'!$B$19:$L$19,1,MATCH(C40,'Исходные кривые'!$B$17:$L$17,1)+1)-INDEX('Исходные кривые'!$B$19:$L$19,1,MATCH(C40,'Исходные кривые'!$B$17:$L$17,1)))/(INDEX('Исходные кривые'!$B$17:$L$17,1,MATCH(C40,'Исходные кривые'!$B$17:$L$17,1)+1)-INDEX('Исходные кривые'!$B$17:$L$17,1,MATCH(C40,'Исходные кривые'!$B$17:$L$17,1)))))</f>
        <v>-2.2852054794520544</v>
      </c>
    </row>
    <row r="41" spans="1:9">
      <c r="A41" s="22">
        <v>48061</v>
      </c>
      <c r="B41" s="27">
        <f>A41-Настройки!$B$4</f>
        <v>1858</v>
      </c>
      <c r="C41" s="28">
        <f>B41/Настройки!$B$5</f>
        <v>5.0904109589041093</v>
      </c>
      <c r="D41" s="28">
        <f>IF(C41&lt;=MIN('Исходные кривые'!$B$4:$L$4),INDEX('Исходные кривые'!$B$5:$L$5,1,1),IF(C41&gt;=MAX('Исходные кривые'!$B$4:$L$4),INDEX('Исходные кривые'!$B$5:$L$5,1,COLUMNS('Исходные кривые'!$B$5:$L$5)),INDEX('Исходные кривые'!$B$5:$L$5,1,MATCH(C41,'Исходные кривые'!$B$4:$L$4,1))+(C41-INDEX('Исходные кривые'!$B$4:$L$4,1,MATCH(C41,'Исходные кривые'!$B$4:$L$4,1)))*(INDEX('Исходные кривые'!$B$5:$L$5,1,MATCH(C41,'Исходные кривые'!$B$4:$L$4,1)+1)-INDEX('Исходные кривые'!$B$5:$L$5,1,MATCH(C41,'Исходные кривые'!$B$4:$L$4,1)))/(INDEX('Исходные кривые'!$B$4:$L$4,1,MATCH(C41,'Исходные кривые'!$B$4:$L$4,1)+1)-INDEX('Исходные кривые'!$B$4:$L$4,1,MATCH(C41,'Исходные кривые'!$B$4:$L$4,1)))))</f>
        <v>15.44531506849315</v>
      </c>
      <c r="E41" s="28">
        <f>IF(C41&lt;=MIN('Исходные кривые'!$B$8:$N$8),INDEX('Исходные кривые'!$B$9:$N$9,1,1),IF(C41&gt;=MAX('Исходные кривые'!$B$8:$N$8),INDEX('Исходные кривые'!$B$9:$N$9,1,COLUMNS('Исходные кривые'!$B$9:$N$9)),INDEX('Исходные кривые'!$B$9:$N$9,1,MATCH(C41,'Исходные кривые'!$B$8:$N$8,1))+(C41-INDEX('Исходные кривые'!$B$8:$N$8,1,MATCH(C41,'Исходные кривые'!$B$8:$N$8,1)))*(INDEX('Исходные кривые'!$B$9:$N$9,1,MATCH(C41,'Исходные кривые'!$B$8:$N$8,1)+1)-INDEX('Исходные кривые'!$B$9:$N$9,1,MATCH(C41,'Исходные кривые'!$B$8:$N$8,1)))/(INDEX('Исходные кривые'!$B$8:$N$8,1,MATCH(C41,'Исходные кривые'!$B$8:$N$8,1)+1)-INDEX('Исходные кривые'!$B$8:$N$8,1,MATCH(C41,'Исходные кривые'!$B$8:$N$8,1)))))</f>
        <v>17.445315068493152</v>
      </c>
      <c r="F41" s="28">
        <f>IF(C41&lt;=MIN('Исходные кривые'!$B$12:$K$12),INDEX('Исходные кривые'!$B$13:$K$13,1,1),IF(C41&gt;=MAX('Исходные кривые'!$B$12:$K$12),INDEX('Исходные кривые'!$B$13:$K$13,1,COLUMNS('Исходные кривые'!$B$13:$K$13)),INDEX('Исходные кривые'!$B$13:$K$13,1,MATCH(C41,'Исходные кривые'!$B$12:$K$12,1))+(C41-INDEX('Исходные кривые'!$B$12:$K$12,1,MATCH(C41,'Исходные кривые'!$B$12:$K$12,1)))*(INDEX('Исходные кривые'!$B$13:$K$13,1,MATCH(C41,'Исходные кривые'!$B$12:$K$12,1)+1)-INDEX('Исходные кривые'!$B$13:$K$13,1,MATCH(C41,'Исходные кривые'!$B$12:$K$12,1)))/(INDEX('Исходные кривые'!$B$12:$K$12,1,MATCH(C41,'Исходные кривые'!$B$12:$K$12,1)+1)-INDEX('Исходные кривые'!$B$12:$K$12,1,MATCH(C41,'Исходные кривые'!$B$12:$K$12,1)))))</f>
        <v>47.728767123287675</v>
      </c>
      <c r="G41" s="28">
        <f>IF(C41&lt;=MIN('Исходные кривые'!$B$12:$K$12),INDEX('Исходные кривые'!$B$14:$K$14,1,1),IF(C41&gt;=MAX('Исходные кривые'!$B$12:$K$12),INDEX('Исходные кривые'!$B$14:$K$14,1,COLUMNS('Исходные кривые'!$B$14:$K$14)),INDEX('Исходные кривые'!$B$14:$K$14,1,MATCH(C41,'Исходные кривые'!$B$12:$K$12,1))+(C41-INDEX('Исходные кривые'!$B$12:$K$12,1,MATCH(C41,'Исходные кривые'!$B$12:$K$12,1)))*(INDEX('Исходные кривые'!$B$14:$K$14,1,MATCH(C41,'Исходные кривые'!$B$12:$K$12,1)+1)-INDEX('Исходные кривые'!$B$14:$K$14,1,MATCH(C41,'Исходные кривые'!$B$12:$K$12,1)))/(INDEX('Исходные кривые'!$B$12:$K$12,1,MATCH(C41,'Исходные кривые'!$B$12:$K$12,1)+1)-INDEX('Исходные кривые'!$B$12:$K$12,1,MATCH(C41,'Исходные кривые'!$B$12:$K$12,1)))))</f>
        <v>-26.954794520547946</v>
      </c>
      <c r="H41" s="28">
        <f>IF(C41&lt;=MIN('Исходные кривые'!$B$17:$L$17),INDEX('Исходные кривые'!$B$18:$L$18,1,1),IF(C41&gt;=MAX('Исходные кривые'!$B$17:$L$17),INDEX('Исходные кривые'!$B$18:$L$18,1,COLUMNS('Исходные кривые'!$B$18:$L$18)),INDEX('Исходные кривые'!$B$18:$L$18,1,MATCH(C41,'Исходные кривые'!$B$17:$L$17,1))+(C41-INDEX('Исходные кривые'!$B$17:$L$17,1,MATCH(C41,'Исходные кривые'!$B$17:$L$17,1)))*(INDEX('Исходные кривые'!$B$18:$L$18,1,MATCH(C41,'Исходные кривые'!$B$17:$L$17,1)+1)-INDEX('Исходные кривые'!$B$18:$L$18,1,MATCH(C41,'Исходные кривые'!$B$17:$L$17,1)))/(INDEX('Исходные кривые'!$B$17:$L$17,1,MATCH(C41,'Исходные кривые'!$B$17:$L$17,1)+1)-INDEX('Исходные кривые'!$B$17:$L$17,1,MATCH(C41,'Исходные кривые'!$B$17:$L$17,1)))))</f>
        <v>5.4</v>
      </c>
      <c r="I41" s="28">
        <f>IF(C41&lt;=MIN('Исходные кривые'!$B$17:$L$17),INDEX('Исходные кривые'!$B$19:$L$19,1,1),IF(C41&gt;=MAX('Исходные кривые'!$B$17:$L$17),INDEX('Исходные кривые'!$B$19:$L$19,1,COLUMNS('Исходные кривые'!$B$19:$L$19)),INDEX('Исходные кривые'!$B$19:$L$19,1,MATCH(C41,'Исходные кривые'!$B$17:$L$17,1))+(C41-INDEX('Исходные кривые'!$B$17:$L$17,1,MATCH(C41,'Исходные кривые'!$B$17:$L$17,1)))*(INDEX('Исходные кривые'!$B$19:$L$19,1,MATCH(C41,'Исходные кривые'!$B$17:$L$17,1)+1)-INDEX('Исходные кривые'!$B$19:$L$19,1,MATCH(C41,'Исходные кривые'!$B$17:$L$17,1)))/(INDEX('Исходные кривые'!$B$17:$L$17,1,MATCH(C41,'Исходные кривые'!$B$17:$L$17,1)+1)-INDEX('Исходные кривые'!$B$17:$L$17,1,MATCH(C41,'Исходные кривые'!$B$17:$L$17,1)))))</f>
        <v>-1.9</v>
      </c>
    </row>
    <row r="42" spans="1:9">
      <c r="A42" s="20">
        <v>48518</v>
      </c>
      <c r="B42" s="29">
        <f>A42-Настройки!$B$4</f>
        <v>2315</v>
      </c>
      <c r="C42" s="30">
        <f>B42/Настройки!$B$5</f>
        <v>6.3424657534246576</v>
      </c>
      <c r="D42" s="30">
        <f>IF(C42&lt;=MIN('Исходные кривые'!$B$4:$L$4),INDEX('Исходные кривые'!$B$5:$L$5,1,1),IF(C42&gt;=MAX('Исходные кривые'!$B$4:$L$4),INDEX('Исходные кривые'!$B$5:$L$5,1,COLUMNS('Исходные кривые'!$B$5:$L$5)),INDEX('Исходные кривые'!$B$5:$L$5,1,MATCH(C42,'Исходные кривые'!$B$4:$L$4,1))+(C42-INDEX('Исходные кривые'!$B$4:$L$4,1,MATCH(C42,'Исходные кривые'!$B$4:$L$4,1)))*(INDEX('Исходные кривые'!$B$5:$L$5,1,MATCH(C42,'Исходные кривые'!$B$4:$L$4,1)+1)-INDEX('Исходные кривые'!$B$5:$L$5,1,MATCH(C42,'Исходные кривые'!$B$4:$L$4,1)))/(INDEX('Исходные кривые'!$B$4:$L$4,1,MATCH(C42,'Исходные кривые'!$B$4:$L$4,1)+1)-INDEX('Исходные кривые'!$B$4:$L$4,1,MATCH(C42,'Исходные кривые'!$B$4:$L$4,1)))))</f>
        <v>15.795890410958904</v>
      </c>
      <c r="E42" s="30">
        <f>IF(C42&lt;=MIN('Исходные кривые'!$B$8:$N$8),INDEX('Исходные кривые'!$B$9:$N$9,1,1),IF(C42&gt;=MAX('Исходные кривые'!$B$8:$N$8),INDEX('Исходные кривые'!$B$9:$N$9,1,COLUMNS('Исходные кривые'!$B$9:$N$9)),INDEX('Исходные кривые'!$B$9:$N$9,1,MATCH(C42,'Исходные кривые'!$B$8:$N$8,1))+(C42-INDEX('Исходные кривые'!$B$8:$N$8,1,MATCH(C42,'Исходные кривые'!$B$8:$N$8,1)))*(INDEX('Исходные кривые'!$B$9:$N$9,1,MATCH(C42,'Исходные кривые'!$B$8:$N$8,1)+1)-INDEX('Исходные кривые'!$B$9:$N$9,1,MATCH(C42,'Исходные кривые'!$B$8:$N$8,1)))/(INDEX('Исходные кривые'!$B$8:$N$8,1,MATCH(C42,'Исходные кривые'!$B$8:$N$8,1)+1)-INDEX('Исходные кривые'!$B$8:$N$8,1,MATCH(C42,'Исходные кривые'!$B$8:$N$8,1)))))</f>
        <v>17.795890410958904</v>
      </c>
      <c r="F42" s="30">
        <f>IF(C42&lt;=MIN('Исходные кривые'!$B$12:$K$12),INDEX('Исходные кривые'!$B$13:$K$13,1,1),IF(C42&gt;=MAX('Исходные кривые'!$B$12:$K$12),INDEX('Исходные кривые'!$B$13:$K$13,1,COLUMNS('Исходные кривые'!$B$13:$K$13)),INDEX('Исходные кривые'!$B$13:$K$13,1,MATCH(C42,'Исходные кривые'!$B$12:$K$12,1))+(C42-INDEX('Исходные кривые'!$B$12:$K$12,1,MATCH(C42,'Исходные кривые'!$B$12:$K$12,1)))*(INDEX('Исходные кривые'!$B$13:$K$13,1,MATCH(C42,'Исходные кривые'!$B$12:$K$12,1)+1)-INDEX('Исходные кривые'!$B$13:$K$13,1,MATCH(C42,'Исходные кривые'!$B$12:$K$12,1)))/(INDEX('Исходные кривые'!$B$12:$K$12,1,MATCH(C42,'Исходные кривые'!$B$12:$K$12,1)+1)-INDEX('Исходные кривые'!$B$12:$K$12,1,MATCH(C42,'Исходные кривые'!$B$12:$K$12,1)))))</f>
        <v>43.972602739726028</v>
      </c>
      <c r="G42" s="30">
        <f>IF(C42&lt;=MIN('Исходные кривые'!$B$12:$K$12),INDEX('Исходные кривые'!$B$14:$K$14,1,1),IF(C42&gt;=MAX('Исходные кривые'!$B$12:$K$12),INDEX('Исходные кривые'!$B$14:$K$14,1,COLUMNS('Исходные кривые'!$B$14:$K$14)),INDEX('Исходные кривые'!$B$14:$K$14,1,MATCH(C42,'Исходные кривые'!$B$12:$K$12,1))+(C42-INDEX('Исходные кривые'!$B$12:$K$12,1,MATCH(C42,'Исходные кривые'!$B$12:$K$12,1)))*(INDEX('Исходные кривые'!$B$14:$K$14,1,MATCH(C42,'Исходные кривые'!$B$12:$K$12,1)+1)-INDEX('Исходные кривые'!$B$14:$K$14,1,MATCH(C42,'Исходные кривые'!$B$12:$K$12,1)))/(INDEX('Исходные кривые'!$B$12:$K$12,1,MATCH(C42,'Исходные кривые'!$B$12:$K$12,1)+1)-INDEX('Исходные кривые'!$B$12:$K$12,1,MATCH(C42,'Исходные кривые'!$B$12:$K$12,1)))))</f>
        <v>-26.328767123287673</v>
      </c>
      <c r="H42" s="30">
        <f>IF(C42&lt;=MIN('Исходные кривые'!$B$17:$L$17),INDEX('Исходные кривые'!$B$18:$L$18,1,1),IF(C42&gt;=MAX('Исходные кривые'!$B$17:$L$17),INDEX('Исходные кривые'!$B$18:$L$18,1,COLUMNS('Исходные кривые'!$B$18:$L$18)),INDEX('Исходные кривые'!$B$18:$L$18,1,MATCH(C42,'Исходные кривые'!$B$17:$L$17,1))+(C42-INDEX('Исходные кривые'!$B$17:$L$17,1,MATCH(C42,'Исходные кривые'!$B$17:$L$17,1)))*(INDEX('Исходные кривые'!$B$18:$L$18,1,MATCH(C42,'Исходные кривые'!$B$17:$L$17,1)+1)-INDEX('Исходные кривые'!$B$18:$L$18,1,MATCH(C42,'Исходные кривые'!$B$17:$L$17,1)))/(INDEX('Исходные кривые'!$B$17:$L$17,1,MATCH(C42,'Исходные кривые'!$B$17:$L$17,1)+1)-INDEX('Исходные кривые'!$B$17:$L$17,1,MATCH(C42,'Исходные кривые'!$B$17:$L$17,1)))))</f>
        <v>5.4</v>
      </c>
      <c r="I42" s="30">
        <f>IF(C42&lt;=MIN('Исходные кривые'!$B$17:$L$17),INDEX('Исходные кривые'!$B$19:$L$19,1,1),IF(C42&gt;=MAX('Исходные кривые'!$B$17:$L$17),INDEX('Исходные кривые'!$B$19:$L$19,1,COLUMNS('Исходные кривые'!$B$19:$L$19)),INDEX('Исходные кривые'!$B$19:$L$19,1,MATCH(C42,'Исходные кривые'!$B$17:$L$17,1))+(C42-INDEX('Исходные кривые'!$B$17:$L$17,1,MATCH(C42,'Исходные кривые'!$B$17:$L$17,1)))*(INDEX('Исходные кривые'!$B$19:$L$19,1,MATCH(C42,'Исходные кривые'!$B$17:$L$17,1)+1)-INDEX('Исходные кривые'!$B$19:$L$19,1,MATCH(C42,'Исходные кривые'!$B$17:$L$17,1)))/(INDEX('Исходные кривые'!$B$17:$L$17,1,MATCH(C42,'Исходные кривые'!$B$17:$L$17,1)+1)-INDEX('Исходные кривые'!$B$17:$L$17,1,MATCH(C42,'Исходные кривые'!$B$17:$L$17,1)))))</f>
        <v>-1.9</v>
      </c>
    </row>
    <row r="43" spans="1:9">
      <c r="A43" s="20">
        <v>48610</v>
      </c>
      <c r="B43" s="29">
        <f>A43-Настройки!$B$4</f>
        <v>2407</v>
      </c>
      <c r="C43" s="30">
        <f>B43/Настройки!$B$5</f>
        <v>6.5945205479452058</v>
      </c>
      <c r="D43" s="30">
        <f>IF(C43&lt;=MIN('Исходные кривые'!$B$4:$L$4),INDEX('Исходные кривые'!$B$5:$L$5,1,1),IF(C43&gt;=MAX('Исходные кривые'!$B$4:$L$4),INDEX('Исходные кривые'!$B$5:$L$5,1,COLUMNS('Исходные кривые'!$B$5:$L$5)),INDEX('Исходные кривые'!$B$5:$L$5,1,MATCH(C43,'Исходные кривые'!$B$4:$L$4,1))+(C43-INDEX('Исходные кривые'!$B$4:$L$4,1,MATCH(C43,'Исходные кривые'!$B$4:$L$4,1)))*(INDEX('Исходные кривые'!$B$5:$L$5,1,MATCH(C43,'Исходные кривые'!$B$4:$L$4,1)+1)-INDEX('Исходные кривые'!$B$5:$L$5,1,MATCH(C43,'Исходные кривые'!$B$4:$L$4,1)))/(INDEX('Исходные кривые'!$B$4:$L$4,1,MATCH(C43,'Исходные кривые'!$B$4:$L$4,1)+1)-INDEX('Исходные кривые'!$B$4:$L$4,1,MATCH(C43,'Исходные кривые'!$B$4:$L$4,1)))))</f>
        <v>15.866465753424658</v>
      </c>
      <c r="E43" s="30">
        <f>IF(C43&lt;=MIN('Исходные кривые'!$B$8:$N$8),INDEX('Исходные кривые'!$B$9:$N$9,1,1),IF(C43&gt;=MAX('Исходные кривые'!$B$8:$N$8),INDEX('Исходные кривые'!$B$9:$N$9,1,COLUMNS('Исходные кривые'!$B$9:$N$9)),INDEX('Исходные кривые'!$B$9:$N$9,1,MATCH(C43,'Исходные кривые'!$B$8:$N$8,1))+(C43-INDEX('Исходные кривые'!$B$8:$N$8,1,MATCH(C43,'Исходные кривые'!$B$8:$N$8,1)))*(INDEX('Исходные кривые'!$B$9:$N$9,1,MATCH(C43,'Исходные кривые'!$B$8:$N$8,1)+1)-INDEX('Исходные кривые'!$B$9:$N$9,1,MATCH(C43,'Исходные кривые'!$B$8:$N$8,1)))/(INDEX('Исходные кривые'!$B$8:$N$8,1,MATCH(C43,'Исходные кривые'!$B$8:$N$8,1)+1)-INDEX('Исходные кривые'!$B$8:$N$8,1,MATCH(C43,'Исходные кривые'!$B$8:$N$8,1)))))</f>
        <v>17.866465753424659</v>
      </c>
      <c r="F43" s="30">
        <f>IF(C43&lt;=MIN('Исходные кривые'!$B$12:$K$12),INDEX('Исходные кривые'!$B$13:$K$13,1,1),IF(C43&gt;=MAX('Исходные кривые'!$B$12:$K$12),INDEX('Исходные кривые'!$B$13:$K$13,1,COLUMNS('Исходные кривые'!$B$13:$K$13)),INDEX('Исходные кривые'!$B$13:$K$13,1,MATCH(C43,'Исходные кривые'!$B$12:$K$12,1))+(C43-INDEX('Исходные кривые'!$B$12:$K$12,1,MATCH(C43,'Исходные кривые'!$B$12:$K$12,1)))*(INDEX('Исходные кривые'!$B$13:$K$13,1,MATCH(C43,'Исходные кривые'!$B$12:$K$12,1)+1)-INDEX('Исходные кривые'!$B$13:$K$13,1,MATCH(C43,'Исходные кривые'!$B$12:$K$12,1)))/(INDEX('Исходные кривые'!$B$12:$K$12,1,MATCH(C43,'Исходные кривые'!$B$12:$K$12,1)+1)-INDEX('Исходные кривые'!$B$12:$K$12,1,MATCH(C43,'Исходные кривые'!$B$12:$K$12,1)))))</f>
        <v>43.216438356164382</v>
      </c>
      <c r="G43" s="30">
        <f>IF(C43&lt;=MIN('Исходные кривые'!$B$12:$K$12),INDEX('Исходные кривые'!$B$14:$K$14,1,1),IF(C43&gt;=MAX('Исходные кривые'!$B$12:$K$12),INDEX('Исходные кривые'!$B$14:$K$14,1,COLUMNS('Исходные кривые'!$B$14:$K$14)),INDEX('Исходные кривые'!$B$14:$K$14,1,MATCH(C43,'Исходные кривые'!$B$12:$K$12,1))+(C43-INDEX('Исходные кривые'!$B$12:$K$12,1,MATCH(C43,'Исходные кривые'!$B$12:$K$12,1)))*(INDEX('Исходные кривые'!$B$14:$K$14,1,MATCH(C43,'Исходные кривые'!$B$12:$K$12,1)+1)-INDEX('Исходные кривые'!$B$14:$K$14,1,MATCH(C43,'Исходные кривые'!$B$12:$K$12,1)))/(INDEX('Исходные кривые'!$B$12:$K$12,1,MATCH(C43,'Исходные кривые'!$B$12:$K$12,1)+1)-INDEX('Исходные кривые'!$B$12:$K$12,1,MATCH(C43,'Исходные кривые'!$B$12:$K$12,1)))))</f>
        <v>-26.202739726027396</v>
      </c>
      <c r="H43" s="30">
        <f>IF(C43&lt;=MIN('Исходные кривые'!$B$17:$L$17),INDEX('Исходные кривые'!$B$18:$L$18,1,1),IF(C43&gt;=MAX('Исходные кривые'!$B$17:$L$17),INDEX('Исходные кривые'!$B$18:$L$18,1,COLUMNS('Исходные кривые'!$B$18:$L$18)),INDEX('Исходные кривые'!$B$18:$L$18,1,MATCH(C43,'Исходные кривые'!$B$17:$L$17,1))+(C43-INDEX('Исходные кривые'!$B$17:$L$17,1,MATCH(C43,'Исходные кривые'!$B$17:$L$17,1)))*(INDEX('Исходные кривые'!$B$18:$L$18,1,MATCH(C43,'Исходные кривые'!$B$17:$L$17,1)+1)-INDEX('Исходные кривые'!$B$18:$L$18,1,MATCH(C43,'Исходные кривые'!$B$17:$L$17,1)))/(INDEX('Исходные кривые'!$B$17:$L$17,1,MATCH(C43,'Исходные кривые'!$B$17:$L$17,1)+1)-INDEX('Исходные кривые'!$B$17:$L$17,1,MATCH(C43,'Исходные кривые'!$B$17:$L$17,1)))))</f>
        <v>5.4</v>
      </c>
      <c r="I43" s="30">
        <f>IF(C43&lt;=MIN('Исходные кривые'!$B$17:$L$17),INDEX('Исходные кривые'!$B$19:$L$19,1,1),IF(C43&gt;=MAX('Исходные кривые'!$B$17:$L$17),INDEX('Исходные кривые'!$B$19:$L$19,1,COLUMNS('Исходные кривые'!$B$19:$L$19)),INDEX('Исходные кривые'!$B$19:$L$19,1,MATCH(C43,'Исходные кривые'!$B$17:$L$17,1))+(C43-INDEX('Исходные кривые'!$B$17:$L$17,1,MATCH(C43,'Исходные кривые'!$B$17:$L$17,1)))*(INDEX('Исходные кривые'!$B$19:$L$19,1,MATCH(C43,'Исходные кривые'!$B$17:$L$17,1)+1)-INDEX('Исходные кривые'!$B$19:$L$19,1,MATCH(C43,'Исходные кривые'!$B$17:$L$17,1)))/(INDEX('Исходные кривые'!$B$17:$L$17,1,MATCH(C43,'Исходные кривые'!$B$17:$L$17,1)+1)-INDEX('Исходные кривые'!$B$17:$L$17,1,MATCH(C43,'Исходные кривые'!$B$17:$L$17,1)))))</f>
        <v>-1.9</v>
      </c>
    </row>
    <row r="44" spans="1:9">
      <c r="A44" s="20">
        <v>48701</v>
      </c>
      <c r="B44" s="29">
        <f>A44-Настройки!$B$4</f>
        <v>2498</v>
      </c>
      <c r="C44" s="30">
        <f>B44/Настройки!$B$5</f>
        <v>6.8438356164383558</v>
      </c>
      <c r="D44" s="30">
        <f>IF(C44&lt;=MIN('Исходные кривые'!$B$4:$L$4),INDEX('Исходные кривые'!$B$5:$L$5,1,1),IF(C44&gt;=MAX('Исходные кривые'!$B$4:$L$4),INDEX('Исходные кривые'!$B$5:$L$5,1,COLUMNS('Исходные кривые'!$B$5:$L$5)),INDEX('Исходные кривые'!$B$5:$L$5,1,MATCH(C44,'Исходные кривые'!$B$4:$L$4,1))+(C44-INDEX('Исходные кривые'!$B$4:$L$4,1,MATCH(C44,'Исходные кривые'!$B$4:$L$4,1)))*(INDEX('Исходные кривые'!$B$5:$L$5,1,MATCH(C44,'Исходные кривые'!$B$4:$L$4,1)+1)-INDEX('Исходные кривые'!$B$5:$L$5,1,MATCH(C44,'Исходные кривые'!$B$4:$L$4,1)))/(INDEX('Исходные кривые'!$B$4:$L$4,1,MATCH(C44,'Исходные кривые'!$B$4:$L$4,1)+1)-INDEX('Исходные кривые'!$B$4:$L$4,1,MATCH(C44,'Исходные кривые'!$B$4:$L$4,1)))))</f>
        <v>15.93627397260274</v>
      </c>
      <c r="E44" s="30">
        <f>IF(C44&lt;=MIN('Исходные кривые'!$B$8:$N$8),INDEX('Исходные кривые'!$B$9:$N$9,1,1),IF(C44&gt;=MAX('Исходные кривые'!$B$8:$N$8),INDEX('Исходные кривые'!$B$9:$N$9,1,COLUMNS('Исходные кривые'!$B$9:$N$9)),INDEX('Исходные кривые'!$B$9:$N$9,1,MATCH(C44,'Исходные кривые'!$B$8:$N$8,1))+(C44-INDEX('Исходные кривые'!$B$8:$N$8,1,MATCH(C44,'Исходные кривые'!$B$8:$N$8,1)))*(INDEX('Исходные кривые'!$B$9:$N$9,1,MATCH(C44,'Исходные кривые'!$B$8:$N$8,1)+1)-INDEX('Исходные кривые'!$B$9:$N$9,1,MATCH(C44,'Исходные кривые'!$B$8:$N$8,1)))/(INDEX('Исходные кривые'!$B$8:$N$8,1,MATCH(C44,'Исходные кривые'!$B$8:$N$8,1)+1)-INDEX('Исходные кривые'!$B$8:$N$8,1,MATCH(C44,'Исходные кривые'!$B$8:$N$8,1)))))</f>
        <v>17.936273972602741</v>
      </c>
      <c r="F44" s="30">
        <f>IF(C44&lt;=MIN('Исходные кривые'!$B$12:$K$12),INDEX('Исходные кривые'!$B$13:$K$13,1,1),IF(C44&gt;=MAX('Исходные кривые'!$B$12:$K$12),INDEX('Исходные кривые'!$B$13:$K$13,1,COLUMNS('Исходные кривые'!$B$13:$K$13)),INDEX('Исходные кривые'!$B$13:$K$13,1,MATCH(C44,'Исходные кривые'!$B$12:$K$12,1))+(C44-INDEX('Исходные кривые'!$B$12:$K$12,1,MATCH(C44,'Исходные кривые'!$B$12:$K$12,1)))*(INDEX('Исходные кривые'!$B$13:$K$13,1,MATCH(C44,'Исходные кривые'!$B$12:$K$12,1)+1)-INDEX('Исходные кривые'!$B$13:$K$13,1,MATCH(C44,'Исходные кривые'!$B$12:$K$12,1)))/(INDEX('Исходные кривые'!$B$12:$K$12,1,MATCH(C44,'Исходные кривые'!$B$12:$K$12,1)+1)-INDEX('Исходные кривые'!$B$12:$K$12,1,MATCH(C44,'Исходные кривые'!$B$12:$K$12,1)))))</f>
        <v>42.468493150684935</v>
      </c>
      <c r="G44" s="30">
        <f>IF(C44&lt;=MIN('Исходные кривые'!$B$12:$K$12),INDEX('Исходные кривые'!$B$14:$K$14,1,1),IF(C44&gt;=MAX('Исходные кривые'!$B$12:$K$12),INDEX('Исходные кривые'!$B$14:$K$14,1,COLUMNS('Исходные кривые'!$B$14:$K$14)),INDEX('Исходные кривые'!$B$14:$K$14,1,MATCH(C44,'Исходные кривые'!$B$12:$K$12,1))+(C44-INDEX('Исходные кривые'!$B$12:$K$12,1,MATCH(C44,'Исходные кривые'!$B$12:$K$12,1)))*(INDEX('Исходные кривые'!$B$14:$K$14,1,MATCH(C44,'Исходные кривые'!$B$12:$K$12,1)+1)-INDEX('Исходные кривые'!$B$14:$K$14,1,MATCH(C44,'Исходные кривые'!$B$12:$K$12,1)))/(INDEX('Исходные кривые'!$B$12:$K$12,1,MATCH(C44,'Исходные кривые'!$B$12:$K$12,1)+1)-INDEX('Исходные кривые'!$B$12:$K$12,1,MATCH(C44,'Исходные кривые'!$B$12:$K$12,1)))))</f>
        <v>-26.078082191780823</v>
      </c>
      <c r="H44" s="30">
        <f>IF(C44&lt;=MIN('Исходные кривые'!$B$17:$L$17),INDEX('Исходные кривые'!$B$18:$L$18,1,1),IF(C44&gt;=MAX('Исходные кривые'!$B$17:$L$17),INDEX('Исходные кривые'!$B$18:$L$18,1,COLUMNS('Исходные кривые'!$B$18:$L$18)),INDEX('Исходные кривые'!$B$18:$L$18,1,MATCH(C44,'Исходные кривые'!$B$17:$L$17,1))+(C44-INDEX('Исходные кривые'!$B$17:$L$17,1,MATCH(C44,'Исходные кривые'!$B$17:$L$17,1)))*(INDEX('Исходные кривые'!$B$18:$L$18,1,MATCH(C44,'Исходные кривые'!$B$17:$L$17,1)+1)-INDEX('Исходные кривые'!$B$18:$L$18,1,MATCH(C44,'Исходные кривые'!$B$17:$L$17,1)))/(INDEX('Исходные кривые'!$B$17:$L$17,1,MATCH(C44,'Исходные кривые'!$B$17:$L$17,1)+1)-INDEX('Исходные кривые'!$B$17:$L$17,1,MATCH(C44,'Исходные кривые'!$B$17:$L$17,1)))))</f>
        <v>5.4</v>
      </c>
      <c r="I44" s="30">
        <f>IF(C44&lt;=MIN('Исходные кривые'!$B$17:$L$17),INDEX('Исходные кривые'!$B$19:$L$19,1,1),IF(C44&gt;=MAX('Исходные кривые'!$B$17:$L$17),INDEX('Исходные кривые'!$B$19:$L$19,1,COLUMNS('Исходные кривые'!$B$19:$L$19)),INDEX('Исходные кривые'!$B$19:$L$19,1,MATCH(C44,'Исходные кривые'!$B$17:$L$17,1))+(C44-INDEX('Исходные кривые'!$B$17:$L$17,1,MATCH(C44,'Исходные кривые'!$B$17:$L$17,1)))*(INDEX('Исходные кривые'!$B$19:$L$19,1,MATCH(C44,'Исходные кривые'!$B$17:$L$17,1)+1)-INDEX('Исходные кривые'!$B$19:$L$19,1,MATCH(C44,'Исходные кривые'!$B$17:$L$17,1)))/(INDEX('Исходные кривые'!$B$17:$L$17,1,MATCH(C44,'Исходные кривые'!$B$17:$L$17,1)+1)-INDEX('Исходные кривые'!$B$17:$L$17,1,MATCH(C44,'Исходные кривые'!$B$17:$L$17,1)))))</f>
        <v>-1.9</v>
      </c>
    </row>
    <row r="45" spans="1:9">
      <c r="A45" s="20">
        <v>48791</v>
      </c>
      <c r="B45" s="29">
        <f>A45-Настройки!$B$4</f>
        <v>2588</v>
      </c>
      <c r="C45" s="30">
        <f>B45/Настройки!$B$5</f>
        <v>7.0904109589041093</v>
      </c>
      <c r="D45" s="30">
        <f>IF(C45&lt;=MIN('Исходные кривые'!$B$4:$L$4),INDEX('Исходные кривые'!$B$5:$L$5,1,1),IF(C45&gt;=MAX('Исходные кривые'!$B$4:$L$4),INDEX('Исходные кривые'!$B$5:$L$5,1,COLUMNS('Исходные кривые'!$B$5:$L$5)),INDEX('Исходные кривые'!$B$5:$L$5,1,MATCH(C45,'Исходные кривые'!$B$4:$L$4,1))+(C45-INDEX('Исходные кривые'!$B$4:$L$4,1,MATCH(C45,'Исходные кривые'!$B$4:$L$4,1)))*(INDEX('Исходные кривые'!$B$5:$L$5,1,MATCH(C45,'Исходные кривые'!$B$4:$L$4,1)+1)-INDEX('Исходные кривые'!$B$5:$L$5,1,MATCH(C45,'Исходные кривые'!$B$4:$L$4,1)))/(INDEX('Исходные кривые'!$B$4:$L$4,1,MATCH(C45,'Исходные кривые'!$B$4:$L$4,1)+1)-INDEX('Исходные кривые'!$B$4:$L$4,1,MATCH(C45,'Исходные кривые'!$B$4:$L$4,1)))))</f>
        <v>15.992054794520548</v>
      </c>
      <c r="E45" s="30">
        <f>IF(C45&lt;=MIN('Исходные кривые'!$B$8:$N$8),INDEX('Исходные кривые'!$B$9:$N$9,1,1),IF(C45&gt;=MAX('Исходные кривые'!$B$8:$N$8),INDEX('Исходные кривые'!$B$9:$N$9,1,COLUMNS('Исходные кривые'!$B$9:$N$9)),INDEX('Исходные кривые'!$B$9:$N$9,1,MATCH(C45,'Исходные кривые'!$B$8:$N$8,1))+(C45-INDEX('Исходные кривые'!$B$8:$N$8,1,MATCH(C45,'Исходные кривые'!$B$8:$N$8,1)))*(INDEX('Исходные кривые'!$B$9:$N$9,1,MATCH(C45,'Исходные кривые'!$B$8:$N$8,1)+1)-INDEX('Исходные кривые'!$B$9:$N$9,1,MATCH(C45,'Исходные кривые'!$B$8:$N$8,1)))/(INDEX('Исходные кривые'!$B$8:$N$8,1,MATCH(C45,'Исходные кривые'!$B$8:$N$8,1)+1)-INDEX('Исходные кривые'!$B$8:$N$8,1,MATCH(C45,'Исходные кривые'!$B$8:$N$8,1)))))</f>
        <v>17.992054794520548</v>
      </c>
      <c r="F45" s="30">
        <f>IF(C45&lt;=MIN('Исходные кривые'!$B$12:$K$12),INDEX('Исходные кривые'!$B$13:$K$13,1,1),IF(C45&gt;=MAX('Исходные кривые'!$B$12:$K$12),INDEX('Исходные кривые'!$B$13:$K$13,1,COLUMNS('Исходные кривые'!$B$13:$K$13)),INDEX('Исходные кривые'!$B$13:$K$13,1,MATCH(C45,'Исходные кривые'!$B$12:$K$12,1))+(C45-INDEX('Исходные кривые'!$B$12:$K$12,1,MATCH(C45,'Исходные кривые'!$B$12:$K$12,1)))*(INDEX('Исходные кривые'!$B$13:$K$13,1,MATCH(C45,'Исходные кривые'!$B$12:$K$12,1)+1)-INDEX('Исходные кривые'!$B$13:$K$13,1,MATCH(C45,'Исходные кривые'!$B$12:$K$12,1)))/(INDEX('Исходные кривые'!$B$12:$K$12,1,MATCH(C45,'Исходные кривые'!$B$12:$K$12,1)+1)-INDEX('Исходные кривые'!$B$12:$K$12,1,MATCH(C45,'Исходные кривые'!$B$12:$K$12,1)))))</f>
        <v>41.758904109589039</v>
      </c>
      <c r="G45" s="30">
        <f>IF(C45&lt;=MIN('Исходные кривые'!$B$12:$K$12),INDEX('Исходные кривые'!$B$14:$K$14,1,1),IF(C45&gt;=MAX('Исходные кривые'!$B$12:$K$12),INDEX('Исходные кривые'!$B$14:$K$14,1,COLUMNS('Исходные кривые'!$B$14:$K$14)),INDEX('Исходные кривые'!$B$14:$K$14,1,MATCH(C45,'Исходные кривые'!$B$12:$K$12,1))+(C45-INDEX('Исходные кривые'!$B$12:$K$12,1,MATCH(C45,'Исходные кривые'!$B$12:$K$12,1)))*(INDEX('Исходные кривые'!$B$14:$K$14,1,MATCH(C45,'Исходные кривые'!$B$12:$K$12,1)+1)-INDEX('Исходные кривые'!$B$14:$K$14,1,MATCH(C45,'Исходные кривые'!$B$12:$K$12,1)))/(INDEX('Исходные кривые'!$B$12:$K$12,1,MATCH(C45,'Исходные кривые'!$B$12:$K$12,1)+1)-INDEX('Исходные кривые'!$B$12:$K$12,1,MATCH(C45,'Исходные кривые'!$B$12:$K$12,1)))))</f>
        <v>-25.93972602739726</v>
      </c>
      <c r="H45" s="30">
        <f>IF(C45&lt;=MIN('Исходные кривые'!$B$17:$L$17),INDEX('Исходные кривые'!$B$18:$L$18,1,1),IF(C45&gt;=MAX('Исходные кривые'!$B$17:$L$17),INDEX('Исходные кривые'!$B$18:$L$18,1,COLUMNS('Исходные кривые'!$B$18:$L$18)),INDEX('Исходные кривые'!$B$18:$L$18,1,MATCH(C45,'Исходные кривые'!$B$17:$L$17,1))+(C45-INDEX('Исходные кривые'!$B$17:$L$17,1,MATCH(C45,'Исходные кривые'!$B$17:$L$17,1)))*(INDEX('Исходные кривые'!$B$18:$L$18,1,MATCH(C45,'Исходные кривые'!$B$17:$L$17,1)+1)-INDEX('Исходные кривые'!$B$18:$L$18,1,MATCH(C45,'Исходные кривые'!$B$17:$L$17,1)))/(INDEX('Исходные кривые'!$B$17:$L$17,1,MATCH(C45,'Исходные кривые'!$B$17:$L$17,1)+1)-INDEX('Исходные кривые'!$B$17:$L$17,1,MATCH(C45,'Исходные кривые'!$B$17:$L$17,1)))))</f>
        <v>5.4</v>
      </c>
      <c r="I45" s="30">
        <f>IF(C45&lt;=MIN('Исходные кривые'!$B$17:$L$17),INDEX('Исходные кривые'!$B$19:$L$19,1,1),IF(C45&gt;=MAX('Исходные кривые'!$B$17:$L$17),INDEX('Исходные кривые'!$B$19:$L$19,1,COLUMNS('Исходные кривые'!$B$19:$L$19)),INDEX('Исходные кривые'!$B$19:$L$19,1,MATCH(C45,'Исходные кривые'!$B$17:$L$17,1))+(C45-INDEX('Исходные кривые'!$B$17:$L$17,1,MATCH(C45,'Исходные кривые'!$B$17:$L$17,1)))*(INDEX('Исходные кривые'!$B$19:$L$19,1,MATCH(C45,'Исходные кривые'!$B$17:$L$17,1)+1)-INDEX('Исходные кривые'!$B$19:$L$19,1,MATCH(C45,'Исходные кривые'!$B$17:$L$17,1)))/(INDEX('Исходные кривые'!$B$17:$L$17,1,MATCH(C45,'Исходные кривые'!$B$17:$L$17,1)+1)-INDEX('Исходные кривые'!$B$17:$L$17,1,MATCH(C45,'Исходные кривые'!$B$17:$L$17,1)))))</f>
        <v>-1.9</v>
      </c>
    </row>
    <row r="46" spans="1:9">
      <c r="A46" s="20">
        <v>48883</v>
      </c>
      <c r="B46" s="29">
        <f>A46-Настройки!$B$4</f>
        <v>2680</v>
      </c>
      <c r="C46" s="30">
        <f>B46/Настройки!$B$5</f>
        <v>7.3424657534246576</v>
      </c>
      <c r="D46" s="30">
        <f>IF(C46&lt;=MIN('Исходные кривые'!$B$4:$L$4),INDEX('Исходные кривые'!$B$5:$L$5,1,1),IF(C46&gt;=MAX('Исходные кривые'!$B$4:$L$4),INDEX('Исходные кривые'!$B$5:$L$5,1,COLUMNS('Исходные кривые'!$B$5:$L$5)),INDEX('Исходные кривые'!$B$5:$L$5,1,MATCH(C46,'Исходные кривые'!$B$4:$L$4,1))+(C46-INDEX('Исходные кривые'!$B$4:$L$4,1,MATCH(C46,'Исходные кривые'!$B$4:$L$4,1)))*(INDEX('Исходные кривые'!$B$5:$L$5,1,MATCH(C46,'Исходные кривые'!$B$4:$L$4,1)+1)-INDEX('Исходные кривые'!$B$5:$L$5,1,MATCH(C46,'Исходные кривые'!$B$4:$L$4,1)))/(INDEX('Исходные кривые'!$B$4:$L$4,1,MATCH(C46,'Исходные кривые'!$B$4:$L$4,1)+1)-INDEX('Исходные кривые'!$B$4:$L$4,1,MATCH(C46,'Исходные кривые'!$B$4:$L$4,1)))))</f>
        <v>16.025662100456621</v>
      </c>
      <c r="E46" s="30">
        <f>IF(C46&lt;=MIN('Исходные кривые'!$B$8:$N$8),INDEX('Исходные кривые'!$B$9:$N$9,1,1),IF(C46&gt;=MAX('Исходные кривые'!$B$8:$N$8),INDEX('Исходные кривые'!$B$9:$N$9,1,COLUMNS('Исходные кривые'!$B$9:$N$9)),INDEX('Исходные кривые'!$B$9:$N$9,1,MATCH(C46,'Исходные кривые'!$B$8:$N$8,1))+(C46-INDEX('Исходные кривые'!$B$8:$N$8,1,MATCH(C46,'Исходные кривые'!$B$8:$N$8,1)))*(INDEX('Исходные кривые'!$B$9:$N$9,1,MATCH(C46,'Исходные кривые'!$B$8:$N$8,1)+1)-INDEX('Исходные кривые'!$B$9:$N$9,1,MATCH(C46,'Исходные кривые'!$B$8:$N$8,1)))/(INDEX('Исходные кривые'!$B$8:$N$8,1,MATCH(C46,'Исходные кривые'!$B$8:$N$8,1)+1)-INDEX('Исходные кривые'!$B$8:$N$8,1,MATCH(C46,'Исходные кривые'!$B$8:$N$8,1)))))</f>
        <v>18.025662100456621</v>
      </c>
      <c r="F46" s="30">
        <f>IF(C46&lt;=MIN('Исходные кривые'!$B$12:$K$12),INDEX('Исходные кривые'!$B$13:$K$13,1,1),IF(C46&gt;=MAX('Исходные кривые'!$B$12:$K$12),INDEX('Исходные кривые'!$B$13:$K$13,1,COLUMNS('Исходные кривые'!$B$13:$K$13)),INDEX('Исходные кривые'!$B$13:$K$13,1,MATCH(C46,'Исходные кривые'!$B$12:$K$12,1))+(C46-INDEX('Исходные кривые'!$B$12:$K$12,1,MATCH(C46,'Исходные кривые'!$B$12:$K$12,1)))*(INDEX('Исходные кривые'!$B$13:$K$13,1,MATCH(C46,'Исходные кривые'!$B$12:$K$12,1)+1)-INDEX('Исходные кривые'!$B$13:$K$13,1,MATCH(C46,'Исходные кривые'!$B$12:$K$12,1)))/(INDEX('Исходные кривые'!$B$12:$K$12,1,MATCH(C46,'Исходные кривые'!$B$12:$K$12,1)+1)-INDEX('Исходные кривые'!$B$12:$K$12,1,MATCH(C46,'Исходные кривые'!$B$12:$K$12,1)))))</f>
        <v>41.086757990867582</v>
      </c>
      <c r="G46" s="30">
        <f>IF(C46&lt;=MIN('Исходные кривые'!$B$12:$K$12),INDEX('Исходные кривые'!$B$14:$K$14,1,1),IF(C46&gt;=MAX('Исходные кривые'!$B$12:$K$12),INDEX('Исходные кривые'!$B$14:$K$14,1,COLUMNS('Исходные кривые'!$B$14:$K$14)),INDEX('Исходные кривые'!$B$14:$K$14,1,MATCH(C46,'Исходные кривые'!$B$12:$K$12,1))+(C46-INDEX('Исходные кривые'!$B$12:$K$12,1,MATCH(C46,'Исходные кривые'!$B$12:$K$12,1)))*(INDEX('Исходные кривые'!$B$14:$K$14,1,MATCH(C46,'Исходные кривые'!$B$12:$K$12,1)+1)-INDEX('Исходные кривые'!$B$14:$K$14,1,MATCH(C46,'Исходные кривые'!$B$12:$K$12,1)))/(INDEX('Исходные кривые'!$B$12:$K$12,1,MATCH(C46,'Исходные кривые'!$B$12:$K$12,1)+1)-INDEX('Исходные кривые'!$B$12:$K$12,1,MATCH(C46,'Исходные кривые'!$B$12:$K$12,1)))))</f>
        <v>-25.771689497716896</v>
      </c>
      <c r="H46" s="30">
        <f>IF(C46&lt;=MIN('Исходные кривые'!$B$17:$L$17),INDEX('Исходные кривые'!$B$18:$L$18,1,1),IF(C46&gt;=MAX('Исходные кривые'!$B$17:$L$17),INDEX('Исходные кривые'!$B$18:$L$18,1,COLUMNS('Исходные кривые'!$B$18:$L$18)),INDEX('Исходные кривые'!$B$18:$L$18,1,MATCH(C46,'Исходные кривые'!$B$17:$L$17,1))+(C46-INDEX('Исходные кривые'!$B$17:$L$17,1,MATCH(C46,'Исходные кривые'!$B$17:$L$17,1)))*(INDEX('Исходные кривые'!$B$18:$L$18,1,MATCH(C46,'Исходные кривые'!$B$17:$L$17,1)+1)-INDEX('Исходные кривые'!$B$18:$L$18,1,MATCH(C46,'Исходные кривые'!$B$17:$L$17,1)))/(INDEX('Исходные кривые'!$B$17:$L$17,1,MATCH(C46,'Исходные кривые'!$B$17:$L$17,1)+1)-INDEX('Исходные кривые'!$B$17:$L$17,1,MATCH(C46,'Исходные кривые'!$B$17:$L$17,1)))))</f>
        <v>5.4</v>
      </c>
      <c r="I46" s="30">
        <f>IF(C46&lt;=MIN('Исходные кривые'!$B$17:$L$17),INDEX('Исходные кривые'!$B$19:$L$19,1,1),IF(C46&gt;=MAX('Исходные кривые'!$B$17:$L$17),INDEX('Исходные кривые'!$B$19:$L$19,1,COLUMNS('Исходные кривые'!$B$19:$L$19)),INDEX('Исходные кривые'!$B$19:$L$19,1,MATCH(C46,'Исходные кривые'!$B$17:$L$17,1))+(C46-INDEX('Исходные кривые'!$B$17:$L$17,1,MATCH(C46,'Исходные кривые'!$B$17:$L$17,1)))*(INDEX('Исходные кривые'!$B$19:$L$19,1,MATCH(C46,'Исходные кривые'!$B$17:$L$17,1)+1)-INDEX('Исходные кривые'!$B$19:$L$19,1,MATCH(C46,'Исходные кривые'!$B$17:$L$17,1)))/(INDEX('Исходные кривые'!$B$17:$L$17,1,MATCH(C46,'Исходные кривые'!$B$17:$L$17,1)+1)-INDEX('Исходные кривые'!$B$17:$L$17,1,MATCH(C46,'Исходные кривые'!$B$17:$L$17,1)))))</f>
        <v>-1.9</v>
      </c>
    </row>
    <row r="47" spans="1:9">
      <c r="A47" s="20">
        <v>48975</v>
      </c>
      <c r="B47" s="29">
        <f>A47-Настройки!$B$4</f>
        <v>2772</v>
      </c>
      <c r="C47" s="30">
        <f>B47/Настройки!$B$5</f>
        <v>7.5945205479452058</v>
      </c>
      <c r="D47" s="30">
        <f>IF(C47&lt;=MIN('Исходные кривые'!$B$4:$L$4),INDEX('Исходные кривые'!$B$5:$L$5,1,1),IF(C47&gt;=MAX('Исходные кривые'!$B$4:$L$4),INDEX('Исходные кривые'!$B$5:$L$5,1,COLUMNS('Исходные кривые'!$B$5:$L$5)),INDEX('Исходные кривые'!$B$5:$L$5,1,MATCH(C47,'Исходные кривые'!$B$4:$L$4,1))+(C47-INDEX('Исходные кривые'!$B$4:$L$4,1,MATCH(C47,'Исходные кривые'!$B$4:$L$4,1)))*(INDEX('Исходные кривые'!$B$5:$L$5,1,MATCH(C47,'Исходные кривые'!$B$4:$L$4,1)+1)-INDEX('Исходные кривые'!$B$5:$L$5,1,MATCH(C47,'Исходные кривые'!$B$4:$L$4,1)))/(INDEX('Исходные кривые'!$B$4:$L$4,1,MATCH(C47,'Исходные кривые'!$B$4:$L$4,1)+1)-INDEX('Исходные кривые'!$B$4:$L$4,1,MATCH(C47,'Исходные кривые'!$B$4:$L$4,1)))))</f>
        <v>16.059269406392694</v>
      </c>
      <c r="E47" s="30">
        <f>IF(C47&lt;=MIN('Исходные кривые'!$B$8:$N$8),INDEX('Исходные кривые'!$B$9:$N$9,1,1),IF(C47&gt;=MAX('Исходные кривые'!$B$8:$N$8),INDEX('Исходные кривые'!$B$9:$N$9,1,COLUMNS('Исходные кривые'!$B$9:$N$9)),INDEX('Исходные кривые'!$B$9:$N$9,1,MATCH(C47,'Исходные кривые'!$B$8:$N$8,1))+(C47-INDEX('Исходные кривые'!$B$8:$N$8,1,MATCH(C47,'Исходные кривые'!$B$8:$N$8,1)))*(INDEX('Исходные кривые'!$B$9:$N$9,1,MATCH(C47,'Исходные кривые'!$B$8:$N$8,1)+1)-INDEX('Исходные кривые'!$B$9:$N$9,1,MATCH(C47,'Исходные кривые'!$B$8:$N$8,1)))/(INDEX('Исходные кривые'!$B$8:$N$8,1,MATCH(C47,'Исходные кривые'!$B$8:$N$8,1)+1)-INDEX('Исходные кривые'!$B$8:$N$8,1,MATCH(C47,'Исходные кривые'!$B$8:$N$8,1)))))</f>
        <v>18.059269406392694</v>
      </c>
      <c r="F47" s="30">
        <f>IF(C47&lt;=MIN('Исходные кривые'!$B$12:$K$12),INDEX('Исходные кривые'!$B$13:$K$13,1,1),IF(C47&gt;=MAX('Исходные кривые'!$B$12:$K$12),INDEX('Исходные кривые'!$B$13:$K$13,1,COLUMNS('Исходные кривые'!$B$13:$K$13)),INDEX('Исходные кривые'!$B$13:$K$13,1,MATCH(C47,'Исходные кривые'!$B$12:$K$12,1))+(C47-INDEX('Исходные кривые'!$B$12:$K$12,1,MATCH(C47,'Исходные кривые'!$B$12:$K$12,1)))*(INDEX('Исходные кривые'!$B$13:$K$13,1,MATCH(C47,'Исходные кривые'!$B$12:$K$12,1)+1)-INDEX('Исходные кривые'!$B$13:$K$13,1,MATCH(C47,'Исходные кривые'!$B$12:$K$12,1)))/(INDEX('Исходные кривые'!$B$12:$K$12,1,MATCH(C47,'Исходные кривые'!$B$12:$K$12,1)+1)-INDEX('Исходные кривые'!$B$12:$K$12,1,MATCH(C47,'Исходные кривые'!$B$12:$K$12,1)))))</f>
        <v>40.414611872146118</v>
      </c>
      <c r="G47" s="30">
        <f>IF(C47&lt;=MIN('Исходные кривые'!$B$12:$K$12),INDEX('Исходные кривые'!$B$14:$K$14,1,1),IF(C47&gt;=MAX('Исходные кривые'!$B$12:$K$12),INDEX('Исходные кривые'!$B$14:$K$14,1,COLUMNS('Исходные кривые'!$B$14:$K$14)),INDEX('Исходные кривые'!$B$14:$K$14,1,MATCH(C47,'Исходные кривые'!$B$12:$K$12,1))+(C47-INDEX('Исходные кривые'!$B$12:$K$12,1,MATCH(C47,'Исходные кривые'!$B$12:$K$12,1)))*(INDEX('Исходные кривые'!$B$14:$K$14,1,MATCH(C47,'Исходные кривые'!$B$12:$K$12,1)+1)-INDEX('Исходные кривые'!$B$14:$K$14,1,MATCH(C47,'Исходные кривые'!$B$12:$K$12,1)))/(INDEX('Исходные кривые'!$B$12:$K$12,1,MATCH(C47,'Исходные кривые'!$B$12:$K$12,1)+1)-INDEX('Исходные кривые'!$B$12:$K$12,1,MATCH(C47,'Исходные кривые'!$B$12:$K$12,1)))))</f>
        <v>-25.603652968036528</v>
      </c>
      <c r="H47" s="30">
        <f>IF(C47&lt;=MIN('Исходные кривые'!$B$17:$L$17),INDEX('Исходные кривые'!$B$18:$L$18,1,1),IF(C47&gt;=MAX('Исходные кривые'!$B$17:$L$17),INDEX('Исходные кривые'!$B$18:$L$18,1,COLUMNS('Исходные кривые'!$B$18:$L$18)),INDEX('Исходные кривые'!$B$18:$L$18,1,MATCH(C47,'Исходные кривые'!$B$17:$L$17,1))+(C47-INDEX('Исходные кривые'!$B$17:$L$17,1,MATCH(C47,'Исходные кривые'!$B$17:$L$17,1)))*(INDEX('Исходные кривые'!$B$18:$L$18,1,MATCH(C47,'Исходные кривые'!$B$17:$L$17,1)+1)-INDEX('Исходные кривые'!$B$18:$L$18,1,MATCH(C47,'Исходные кривые'!$B$17:$L$17,1)))/(INDEX('Исходные кривые'!$B$17:$L$17,1,MATCH(C47,'Исходные кривые'!$B$17:$L$17,1)+1)-INDEX('Исходные кривые'!$B$17:$L$17,1,MATCH(C47,'Исходные кривые'!$B$17:$L$17,1)))))</f>
        <v>5.4</v>
      </c>
      <c r="I47" s="30">
        <f>IF(C47&lt;=MIN('Исходные кривые'!$B$17:$L$17),INDEX('Исходные кривые'!$B$19:$L$19,1,1),IF(C47&gt;=MAX('Исходные кривые'!$B$17:$L$17),INDEX('Исходные кривые'!$B$19:$L$19,1,COLUMNS('Исходные кривые'!$B$19:$L$19)),INDEX('Исходные кривые'!$B$19:$L$19,1,MATCH(C47,'Исходные кривые'!$B$17:$L$17,1))+(C47-INDEX('Исходные кривые'!$B$17:$L$17,1,MATCH(C47,'Исходные кривые'!$B$17:$L$17,1)))*(INDEX('Исходные кривые'!$B$19:$L$19,1,MATCH(C47,'Исходные кривые'!$B$17:$L$17,1)+1)-INDEX('Исходные кривые'!$B$19:$L$19,1,MATCH(C47,'Исходные кривые'!$B$17:$L$17,1)))/(INDEX('Исходные кривые'!$B$17:$L$17,1,MATCH(C47,'Исходные кривые'!$B$17:$L$17,1)+1)-INDEX('Исходные кривые'!$B$17:$L$17,1,MATCH(C47,'Исходные кривые'!$B$17:$L$17,1)))))</f>
        <v>-1.9</v>
      </c>
    </row>
    <row r="48" spans="1:9">
      <c r="A48" s="20">
        <v>49066</v>
      </c>
      <c r="B48" s="29">
        <f>A48-Настройки!$B$4</f>
        <v>2863</v>
      </c>
      <c r="C48" s="30">
        <f>B48/Настройки!$B$5</f>
        <v>7.8438356164383558</v>
      </c>
      <c r="D48" s="30">
        <f>IF(C48&lt;=MIN('Исходные кривые'!$B$4:$L$4),INDEX('Исходные кривые'!$B$5:$L$5,1,1),IF(C48&gt;=MAX('Исходные кривые'!$B$4:$L$4),INDEX('Исходные кривые'!$B$5:$L$5,1,COLUMNS('Исходные кривые'!$B$5:$L$5)),INDEX('Исходные кривые'!$B$5:$L$5,1,MATCH(C48,'Исходные кривые'!$B$4:$L$4,1))+(C48-INDEX('Исходные кривые'!$B$4:$L$4,1,MATCH(C48,'Исходные кривые'!$B$4:$L$4,1)))*(INDEX('Исходные кривые'!$B$5:$L$5,1,MATCH(C48,'Исходные кривые'!$B$4:$L$4,1)+1)-INDEX('Исходные кривые'!$B$5:$L$5,1,MATCH(C48,'Исходные кривые'!$B$4:$L$4,1)))/(INDEX('Исходные кривые'!$B$4:$L$4,1,MATCH(C48,'Исходные кривые'!$B$4:$L$4,1)+1)-INDEX('Исходные кривые'!$B$4:$L$4,1,MATCH(C48,'Исходные кривые'!$B$4:$L$4,1)))))</f>
        <v>16.092511415525113</v>
      </c>
      <c r="E48" s="30">
        <f>IF(C48&lt;=MIN('Исходные кривые'!$B$8:$N$8),INDEX('Исходные кривые'!$B$9:$N$9,1,1),IF(C48&gt;=MAX('Исходные кривые'!$B$8:$N$8),INDEX('Исходные кривые'!$B$9:$N$9,1,COLUMNS('Исходные кривые'!$B$9:$N$9)),INDEX('Исходные кривые'!$B$9:$N$9,1,MATCH(C48,'Исходные кривые'!$B$8:$N$8,1))+(C48-INDEX('Исходные кривые'!$B$8:$N$8,1,MATCH(C48,'Исходные кривые'!$B$8:$N$8,1)))*(INDEX('Исходные кривые'!$B$9:$N$9,1,MATCH(C48,'Исходные кривые'!$B$8:$N$8,1)+1)-INDEX('Исходные кривые'!$B$9:$N$9,1,MATCH(C48,'Исходные кривые'!$B$8:$N$8,1)))/(INDEX('Исходные кривые'!$B$8:$N$8,1,MATCH(C48,'Исходные кривые'!$B$8:$N$8,1)+1)-INDEX('Исходные кривые'!$B$8:$N$8,1,MATCH(C48,'Исходные кривые'!$B$8:$N$8,1)))))</f>
        <v>18.092511415525113</v>
      </c>
      <c r="F48" s="30">
        <f>IF(C48&lt;=MIN('Исходные кривые'!$B$12:$K$12),INDEX('Исходные кривые'!$B$13:$K$13,1,1),IF(C48&gt;=MAX('Исходные кривые'!$B$12:$K$12),INDEX('Исходные кривые'!$B$13:$K$13,1,COLUMNS('Исходные кривые'!$B$13:$K$13)),INDEX('Исходные кривые'!$B$13:$K$13,1,MATCH(C48,'Исходные кривые'!$B$12:$K$12,1))+(C48-INDEX('Исходные кривые'!$B$12:$K$12,1,MATCH(C48,'Исходные кривые'!$B$12:$K$12,1)))*(INDEX('Исходные кривые'!$B$13:$K$13,1,MATCH(C48,'Исходные кривые'!$B$12:$K$12,1)+1)-INDEX('Исходные кривые'!$B$13:$K$13,1,MATCH(C48,'Исходные кривые'!$B$12:$K$12,1)))/(INDEX('Исходные кривые'!$B$12:$K$12,1,MATCH(C48,'Исходные кривые'!$B$12:$K$12,1)+1)-INDEX('Исходные кривые'!$B$12:$K$12,1,MATCH(C48,'Исходные кривые'!$B$12:$K$12,1)))))</f>
        <v>39.74977168949772</v>
      </c>
      <c r="G48" s="30">
        <f>IF(C48&lt;=MIN('Исходные кривые'!$B$12:$K$12),INDEX('Исходные кривые'!$B$14:$K$14,1,1),IF(C48&gt;=MAX('Исходные кривые'!$B$12:$K$12),INDEX('Исходные кривые'!$B$14:$K$14,1,COLUMNS('Исходные кривые'!$B$14:$K$14)),INDEX('Исходные кривые'!$B$14:$K$14,1,MATCH(C48,'Исходные кривые'!$B$12:$K$12,1))+(C48-INDEX('Исходные кривые'!$B$12:$K$12,1,MATCH(C48,'Исходные кривые'!$B$12:$K$12,1)))*(INDEX('Исходные кривые'!$B$14:$K$14,1,MATCH(C48,'Исходные кривые'!$B$12:$K$12,1)+1)-INDEX('Исходные кривые'!$B$14:$K$14,1,MATCH(C48,'Исходные кривые'!$B$12:$K$12,1)))/(INDEX('Исходные кривые'!$B$12:$K$12,1,MATCH(C48,'Исходные кривые'!$B$12:$K$12,1)+1)-INDEX('Исходные кривые'!$B$12:$K$12,1,MATCH(C48,'Исходные кривые'!$B$12:$K$12,1)))))</f>
        <v>-25.43744292237443</v>
      </c>
      <c r="H48" s="30">
        <f>IF(C48&lt;=MIN('Исходные кривые'!$B$17:$L$17),INDEX('Исходные кривые'!$B$18:$L$18,1,1),IF(C48&gt;=MAX('Исходные кривые'!$B$17:$L$17),INDEX('Исходные кривые'!$B$18:$L$18,1,COLUMNS('Исходные кривые'!$B$18:$L$18)),INDEX('Исходные кривые'!$B$18:$L$18,1,MATCH(C48,'Исходные кривые'!$B$17:$L$17,1))+(C48-INDEX('Исходные кривые'!$B$17:$L$17,1,MATCH(C48,'Исходные кривые'!$B$17:$L$17,1)))*(INDEX('Исходные кривые'!$B$18:$L$18,1,MATCH(C48,'Исходные кривые'!$B$17:$L$17,1)+1)-INDEX('Исходные кривые'!$B$18:$L$18,1,MATCH(C48,'Исходные кривые'!$B$17:$L$17,1)))/(INDEX('Исходные кривые'!$B$17:$L$17,1,MATCH(C48,'Исходные кривые'!$B$17:$L$17,1)+1)-INDEX('Исходные кривые'!$B$17:$L$17,1,MATCH(C48,'Исходные кривые'!$B$17:$L$17,1)))))</f>
        <v>5.4</v>
      </c>
      <c r="I48" s="30">
        <f>IF(C48&lt;=MIN('Исходные кривые'!$B$17:$L$17),INDEX('Исходные кривые'!$B$19:$L$19,1,1),IF(C48&gt;=MAX('Исходные кривые'!$B$17:$L$17),INDEX('Исходные кривые'!$B$19:$L$19,1,COLUMNS('Исходные кривые'!$B$19:$L$19)),INDEX('Исходные кривые'!$B$19:$L$19,1,MATCH(C48,'Исходные кривые'!$B$17:$L$17,1))+(C48-INDEX('Исходные кривые'!$B$17:$L$17,1,MATCH(C48,'Исходные кривые'!$B$17:$L$17,1)))*(INDEX('Исходные кривые'!$B$19:$L$19,1,MATCH(C48,'Исходные кривые'!$B$17:$L$17,1)+1)-INDEX('Исходные кривые'!$B$19:$L$19,1,MATCH(C48,'Исходные кривые'!$B$17:$L$17,1)))/(INDEX('Исходные кривые'!$B$17:$L$17,1,MATCH(C48,'Исходные кривые'!$B$17:$L$17,1)+1)-INDEX('Исходные кривые'!$B$17:$L$17,1,MATCH(C48,'Исходные кривые'!$B$17:$L$17,1)))))</f>
        <v>-1.9</v>
      </c>
    </row>
    <row r="49" spans="1:9">
      <c r="A49" s="20">
        <v>49156</v>
      </c>
      <c r="B49" s="29">
        <f>A49-Настройки!$B$4</f>
        <v>2953</v>
      </c>
      <c r="C49" s="30">
        <f>B49/Настройки!$B$5</f>
        <v>8.0904109589041102</v>
      </c>
      <c r="D49" s="30">
        <f>IF(C49&lt;=MIN('Исходные кривые'!$B$4:$L$4),INDEX('Исходные кривые'!$B$5:$L$5,1,1),IF(C49&gt;=MAX('Исходные кривые'!$B$4:$L$4),INDEX('Исходные кривые'!$B$5:$L$5,1,COLUMNS('Исходные кривые'!$B$5:$L$5)),INDEX('Исходные кривые'!$B$5:$L$5,1,MATCH(C49,'Исходные кривые'!$B$4:$L$4,1))+(C49-INDEX('Исходные кривые'!$B$4:$L$4,1,MATCH(C49,'Исходные кривые'!$B$4:$L$4,1)))*(INDEX('Исходные кривые'!$B$5:$L$5,1,MATCH(C49,'Исходные кривые'!$B$4:$L$4,1)+1)-INDEX('Исходные кривые'!$B$5:$L$5,1,MATCH(C49,'Исходные кривые'!$B$4:$L$4,1)))/(INDEX('Исходные кривые'!$B$4:$L$4,1,MATCH(C49,'Исходные кривые'!$B$4:$L$4,1)+1)-INDEX('Исходные кривые'!$B$4:$L$4,1,MATCH(C49,'Исходные кривые'!$B$4:$L$4,1)))))</f>
        <v>16.125388127853881</v>
      </c>
      <c r="E49" s="30">
        <f>IF(C49&lt;=MIN('Исходные кривые'!$B$8:$N$8),INDEX('Исходные кривые'!$B$9:$N$9,1,1),IF(C49&gt;=MAX('Исходные кривые'!$B$8:$N$8),INDEX('Исходные кривые'!$B$9:$N$9,1,COLUMNS('Исходные кривые'!$B$9:$N$9)),INDEX('Исходные кривые'!$B$9:$N$9,1,MATCH(C49,'Исходные кривые'!$B$8:$N$8,1))+(C49-INDEX('Исходные кривые'!$B$8:$N$8,1,MATCH(C49,'Исходные кривые'!$B$8:$N$8,1)))*(INDEX('Исходные кривые'!$B$9:$N$9,1,MATCH(C49,'Исходные кривые'!$B$8:$N$8,1)+1)-INDEX('Исходные кривые'!$B$9:$N$9,1,MATCH(C49,'Исходные кривые'!$B$8:$N$8,1)))/(INDEX('Исходные кривые'!$B$8:$N$8,1,MATCH(C49,'Исходные кривые'!$B$8:$N$8,1)+1)-INDEX('Исходные кривые'!$B$8:$N$8,1,MATCH(C49,'Исходные кривые'!$B$8:$N$8,1)))))</f>
        <v>18.125388127853881</v>
      </c>
      <c r="F49" s="30">
        <f>IF(C49&lt;=MIN('Исходные кривые'!$B$12:$K$12),INDEX('Исходные кривые'!$B$13:$K$13,1,1),IF(C49&gt;=MAX('Исходные кривые'!$B$12:$K$12),INDEX('Исходные кривые'!$B$13:$K$13,1,COLUMNS('Исходные кривые'!$B$13:$K$13)),INDEX('Исходные кривые'!$B$13:$K$13,1,MATCH(C49,'Исходные кривые'!$B$12:$K$12,1))+(C49-INDEX('Исходные кривые'!$B$12:$K$12,1,MATCH(C49,'Исходные кривые'!$B$12:$K$12,1)))*(INDEX('Исходные кривые'!$B$13:$K$13,1,MATCH(C49,'Исходные кривые'!$B$12:$K$12,1)+1)-INDEX('Исходные кривые'!$B$13:$K$13,1,MATCH(C49,'Исходные кривые'!$B$12:$K$12,1)))/(INDEX('Исходные кривые'!$B$12:$K$12,1,MATCH(C49,'Исходные кривые'!$B$12:$K$12,1)+1)-INDEX('Исходные кривые'!$B$12:$K$12,1,MATCH(C49,'Исходные кривые'!$B$12:$K$12,1)))))</f>
        <v>39.092237442922375</v>
      </c>
      <c r="G49" s="30">
        <f>IF(C49&lt;=MIN('Исходные кривые'!$B$12:$K$12),INDEX('Исходные кривые'!$B$14:$K$14,1,1),IF(C49&gt;=MAX('Исходные кривые'!$B$12:$K$12),INDEX('Исходные кривые'!$B$14:$K$14,1,COLUMNS('Исходные кривые'!$B$14:$K$14)),INDEX('Исходные кривые'!$B$14:$K$14,1,MATCH(C49,'Исходные кривые'!$B$12:$K$12,1))+(C49-INDEX('Исходные кривые'!$B$12:$K$12,1,MATCH(C49,'Исходные кривые'!$B$12:$K$12,1)))*(INDEX('Исходные кривые'!$B$14:$K$14,1,MATCH(C49,'Исходные кривые'!$B$12:$K$12,1)+1)-INDEX('Исходные кривые'!$B$14:$K$14,1,MATCH(C49,'Исходные кривые'!$B$12:$K$12,1)))/(INDEX('Исходные кривые'!$B$12:$K$12,1,MATCH(C49,'Исходные кривые'!$B$12:$K$12,1)+1)-INDEX('Исходные кривые'!$B$12:$K$12,1,MATCH(C49,'Исходные кривые'!$B$12:$K$12,1)))))</f>
        <v>-25.273059360730592</v>
      </c>
      <c r="H49" s="30">
        <f>IF(C49&lt;=MIN('Исходные кривые'!$B$17:$L$17),INDEX('Исходные кривые'!$B$18:$L$18,1,1),IF(C49&gt;=MAX('Исходные кривые'!$B$17:$L$17),INDEX('Исходные кривые'!$B$18:$L$18,1,COLUMNS('Исходные кривые'!$B$18:$L$18)),INDEX('Исходные кривые'!$B$18:$L$18,1,MATCH(C49,'Исходные кривые'!$B$17:$L$17,1))+(C49-INDEX('Исходные кривые'!$B$17:$L$17,1,MATCH(C49,'Исходные кривые'!$B$17:$L$17,1)))*(INDEX('Исходные кривые'!$B$18:$L$18,1,MATCH(C49,'Исходные кривые'!$B$17:$L$17,1)+1)-INDEX('Исходные кривые'!$B$18:$L$18,1,MATCH(C49,'Исходные кривые'!$B$17:$L$17,1)))/(INDEX('Исходные кривые'!$B$17:$L$17,1,MATCH(C49,'Исходные кривые'!$B$17:$L$17,1)+1)-INDEX('Исходные кривые'!$B$17:$L$17,1,MATCH(C49,'Исходные кривые'!$B$17:$L$17,1)))))</f>
        <v>5.4</v>
      </c>
      <c r="I49" s="30">
        <f>IF(C49&lt;=MIN('Исходные кривые'!$B$17:$L$17),INDEX('Исходные кривые'!$B$19:$L$19,1,1),IF(C49&gt;=MAX('Исходные кривые'!$B$17:$L$17),INDEX('Исходные кривые'!$B$19:$L$19,1,COLUMNS('Исходные кривые'!$B$19:$L$19)),INDEX('Исходные кривые'!$B$19:$L$19,1,MATCH(C49,'Исходные кривые'!$B$17:$L$17,1))+(C49-INDEX('Исходные кривые'!$B$17:$L$17,1,MATCH(C49,'Исходные кривые'!$B$17:$L$17,1)))*(INDEX('Исходные кривые'!$B$19:$L$19,1,MATCH(C49,'Исходные кривые'!$B$17:$L$17,1)+1)-INDEX('Исходные кривые'!$B$19:$L$19,1,MATCH(C49,'Исходные кривые'!$B$17:$L$17,1)))/(INDEX('Исходные кривые'!$B$17:$L$17,1,MATCH(C49,'Исходные кривые'!$B$17:$L$17,1)+1)-INDEX('Исходные кривые'!$B$17:$L$17,1,MATCH(C49,'Исходные кривые'!$B$17:$L$17,1)))))</f>
        <v>-1.9</v>
      </c>
    </row>
    <row r="50" spans="1:9">
      <c r="A50" s="20">
        <v>49248</v>
      </c>
      <c r="B50" s="29">
        <f>A50-Настройки!$B$4</f>
        <v>3045</v>
      </c>
      <c r="C50" s="30">
        <f>B50/Настройки!$B$5</f>
        <v>8.3424657534246567</v>
      </c>
      <c r="D50" s="30">
        <f>IF(C50&lt;=MIN('Исходные кривые'!$B$4:$L$4),INDEX('Исходные кривые'!$B$5:$L$5,1,1),IF(C50&gt;=MAX('Исходные кривые'!$B$4:$L$4),INDEX('Исходные кривые'!$B$5:$L$5,1,COLUMNS('Исходные кривые'!$B$5:$L$5)),INDEX('Исходные кривые'!$B$5:$L$5,1,MATCH(C50,'Исходные кривые'!$B$4:$L$4,1))+(C50-INDEX('Исходные кривые'!$B$4:$L$4,1,MATCH(C50,'Исходные кривые'!$B$4:$L$4,1)))*(INDEX('Исходные кривые'!$B$5:$L$5,1,MATCH(C50,'Исходные кривые'!$B$4:$L$4,1)+1)-INDEX('Исходные кривые'!$B$5:$L$5,1,MATCH(C50,'Исходные кривые'!$B$4:$L$4,1)))/(INDEX('Исходные кривые'!$B$4:$L$4,1,MATCH(C50,'Исходные кривые'!$B$4:$L$4,1)+1)-INDEX('Исходные кривые'!$B$4:$L$4,1,MATCH(C50,'Исходные кривые'!$B$4:$L$4,1)))))</f>
        <v>16.158995433789954</v>
      </c>
      <c r="E50" s="30">
        <f>IF(C50&lt;=MIN('Исходные кривые'!$B$8:$N$8),INDEX('Исходные кривые'!$B$9:$N$9,1,1),IF(C50&gt;=MAX('Исходные кривые'!$B$8:$N$8),INDEX('Исходные кривые'!$B$9:$N$9,1,COLUMNS('Исходные кривые'!$B$9:$N$9)),INDEX('Исходные кривые'!$B$9:$N$9,1,MATCH(C50,'Исходные кривые'!$B$8:$N$8,1))+(C50-INDEX('Исходные кривые'!$B$8:$N$8,1,MATCH(C50,'Исходные кривые'!$B$8:$N$8,1)))*(INDEX('Исходные кривые'!$B$9:$N$9,1,MATCH(C50,'Исходные кривые'!$B$8:$N$8,1)+1)-INDEX('Исходные кривые'!$B$9:$N$9,1,MATCH(C50,'Исходные кривые'!$B$8:$N$8,1)))/(INDEX('Исходные кривые'!$B$8:$N$8,1,MATCH(C50,'Исходные кривые'!$B$8:$N$8,1)+1)-INDEX('Исходные кривые'!$B$8:$N$8,1,MATCH(C50,'Исходные кривые'!$B$8:$N$8,1)))))</f>
        <v>18.158995433789954</v>
      </c>
      <c r="F50" s="30">
        <f>IF(C50&lt;=MIN('Исходные кривые'!$B$12:$K$12),INDEX('Исходные кривые'!$B$13:$K$13,1,1),IF(C50&gt;=MAX('Исходные кривые'!$B$12:$K$12),INDEX('Исходные кривые'!$B$13:$K$13,1,COLUMNS('Исходные кривые'!$B$13:$K$13)),INDEX('Исходные кривые'!$B$13:$K$13,1,MATCH(C50,'Исходные кривые'!$B$12:$K$12,1))+(C50-INDEX('Исходные кривые'!$B$12:$K$12,1,MATCH(C50,'Исходные кривые'!$B$12:$K$12,1)))*(INDEX('Исходные кривые'!$B$13:$K$13,1,MATCH(C50,'Исходные кривые'!$B$12:$K$12,1)+1)-INDEX('Исходные кривые'!$B$13:$K$13,1,MATCH(C50,'Исходные кривые'!$B$12:$K$12,1)))/(INDEX('Исходные кривые'!$B$12:$K$12,1,MATCH(C50,'Исходные кривые'!$B$12:$K$12,1)+1)-INDEX('Исходные кривые'!$B$12:$K$12,1,MATCH(C50,'Исходные кривые'!$B$12:$K$12,1)))))</f>
        <v>38.420091324200918</v>
      </c>
      <c r="G50" s="30">
        <f>IF(C50&lt;=MIN('Исходные кривые'!$B$12:$K$12),INDEX('Исходные кривые'!$B$14:$K$14,1,1),IF(C50&gt;=MAX('Исходные кривые'!$B$12:$K$12),INDEX('Исходные кривые'!$B$14:$K$14,1,COLUMNS('Исходные кривые'!$B$14:$K$14)),INDEX('Исходные кривые'!$B$14:$K$14,1,MATCH(C50,'Исходные кривые'!$B$12:$K$12,1))+(C50-INDEX('Исходные кривые'!$B$12:$K$12,1,MATCH(C50,'Исходные кривые'!$B$12:$K$12,1)))*(INDEX('Исходные кривые'!$B$14:$K$14,1,MATCH(C50,'Исходные кривые'!$B$12:$K$12,1)+1)-INDEX('Исходные кривые'!$B$14:$K$14,1,MATCH(C50,'Исходные кривые'!$B$12:$K$12,1)))/(INDEX('Исходные кривые'!$B$12:$K$12,1,MATCH(C50,'Исходные кривые'!$B$12:$K$12,1)+1)-INDEX('Исходные кривые'!$B$12:$K$12,1,MATCH(C50,'Исходные кривые'!$B$12:$K$12,1)))))</f>
        <v>-25.105022831050228</v>
      </c>
      <c r="H50" s="30">
        <f>IF(C50&lt;=MIN('Исходные кривые'!$B$17:$L$17),INDEX('Исходные кривые'!$B$18:$L$18,1,1),IF(C50&gt;=MAX('Исходные кривые'!$B$17:$L$17),INDEX('Исходные кривые'!$B$18:$L$18,1,COLUMNS('Исходные кривые'!$B$18:$L$18)),INDEX('Исходные кривые'!$B$18:$L$18,1,MATCH(C50,'Исходные кривые'!$B$17:$L$17,1))+(C50-INDEX('Исходные кривые'!$B$17:$L$17,1,MATCH(C50,'Исходные кривые'!$B$17:$L$17,1)))*(INDEX('Исходные кривые'!$B$18:$L$18,1,MATCH(C50,'Исходные кривые'!$B$17:$L$17,1)+1)-INDEX('Исходные кривые'!$B$18:$L$18,1,MATCH(C50,'Исходные кривые'!$B$17:$L$17,1)))/(INDEX('Исходные кривые'!$B$17:$L$17,1,MATCH(C50,'Исходные кривые'!$B$17:$L$17,1)+1)-INDEX('Исходные кривые'!$B$17:$L$17,1,MATCH(C50,'Исходные кривые'!$B$17:$L$17,1)))))</f>
        <v>5.4</v>
      </c>
      <c r="I50" s="30">
        <f>IF(C50&lt;=MIN('Исходные кривые'!$B$17:$L$17),INDEX('Исходные кривые'!$B$19:$L$19,1,1),IF(C50&gt;=MAX('Исходные кривые'!$B$17:$L$17),INDEX('Исходные кривые'!$B$19:$L$19,1,COLUMNS('Исходные кривые'!$B$19:$L$19)),INDEX('Исходные кривые'!$B$19:$L$19,1,MATCH(C50,'Исходные кривые'!$B$17:$L$17,1))+(C50-INDEX('Исходные кривые'!$B$17:$L$17,1,MATCH(C50,'Исходные кривые'!$B$17:$L$17,1)))*(INDEX('Исходные кривые'!$B$19:$L$19,1,MATCH(C50,'Исходные кривые'!$B$17:$L$17,1)+1)-INDEX('Исходные кривые'!$B$19:$L$19,1,MATCH(C50,'Исходные кривые'!$B$17:$L$17,1)))/(INDEX('Исходные кривые'!$B$17:$L$17,1,MATCH(C50,'Исходные кривые'!$B$17:$L$17,1)+1)-INDEX('Исходные кривые'!$B$17:$L$17,1,MATCH(C50,'Исходные кривые'!$B$17:$L$17,1)))))</f>
        <v>-1.9</v>
      </c>
    </row>
    <row r="51" spans="1:9">
      <c r="A51" s="20">
        <v>49340</v>
      </c>
      <c r="B51" s="29">
        <f>A51-Настройки!$B$4</f>
        <v>3137</v>
      </c>
      <c r="C51" s="30">
        <f>B51/Настройки!$B$5</f>
        <v>8.5945205479452049</v>
      </c>
      <c r="D51" s="30">
        <f>IF(C51&lt;=MIN('Исходные кривые'!$B$4:$L$4),INDEX('Исходные кривые'!$B$5:$L$5,1,1),IF(C51&gt;=MAX('Исходные кривые'!$B$4:$L$4),INDEX('Исходные кривые'!$B$5:$L$5,1,COLUMNS('Исходные кривые'!$B$5:$L$5)),INDEX('Исходные кривые'!$B$5:$L$5,1,MATCH(C51,'Исходные кривые'!$B$4:$L$4,1))+(C51-INDEX('Исходные кривые'!$B$4:$L$4,1,MATCH(C51,'Исходные кривые'!$B$4:$L$4,1)))*(INDEX('Исходные кривые'!$B$5:$L$5,1,MATCH(C51,'Исходные кривые'!$B$4:$L$4,1)+1)-INDEX('Исходные кривые'!$B$5:$L$5,1,MATCH(C51,'Исходные кривые'!$B$4:$L$4,1)))/(INDEX('Исходные кривые'!$B$4:$L$4,1,MATCH(C51,'Исходные кривые'!$B$4:$L$4,1)+1)-INDEX('Исходные кривые'!$B$4:$L$4,1,MATCH(C51,'Исходные кривые'!$B$4:$L$4,1)))))</f>
        <v>16.192602739726027</v>
      </c>
      <c r="E51" s="30">
        <f>IF(C51&lt;=MIN('Исходные кривые'!$B$8:$N$8),INDEX('Исходные кривые'!$B$9:$N$9,1,1),IF(C51&gt;=MAX('Исходные кривые'!$B$8:$N$8),INDEX('Исходные кривые'!$B$9:$N$9,1,COLUMNS('Исходные кривые'!$B$9:$N$9)),INDEX('Исходные кривые'!$B$9:$N$9,1,MATCH(C51,'Исходные кривые'!$B$8:$N$8,1))+(C51-INDEX('Исходные кривые'!$B$8:$N$8,1,MATCH(C51,'Исходные кривые'!$B$8:$N$8,1)))*(INDEX('Исходные кривые'!$B$9:$N$9,1,MATCH(C51,'Исходные кривые'!$B$8:$N$8,1)+1)-INDEX('Исходные кривые'!$B$9:$N$9,1,MATCH(C51,'Исходные кривые'!$B$8:$N$8,1)))/(INDEX('Исходные кривые'!$B$8:$N$8,1,MATCH(C51,'Исходные кривые'!$B$8:$N$8,1)+1)-INDEX('Исходные кривые'!$B$8:$N$8,1,MATCH(C51,'Исходные кривые'!$B$8:$N$8,1)))))</f>
        <v>18.192602739726027</v>
      </c>
      <c r="F51" s="30">
        <f>IF(C51&lt;=MIN('Исходные кривые'!$B$12:$K$12),INDEX('Исходные кривые'!$B$13:$K$13,1,1),IF(C51&gt;=MAX('Исходные кривые'!$B$12:$K$12),INDEX('Исходные кривые'!$B$13:$K$13,1,COLUMNS('Исходные кривые'!$B$13:$K$13)),INDEX('Исходные кривые'!$B$13:$K$13,1,MATCH(C51,'Исходные кривые'!$B$12:$K$12,1))+(C51-INDEX('Исходные кривые'!$B$12:$K$12,1,MATCH(C51,'Исходные кривые'!$B$12:$K$12,1)))*(INDEX('Исходные кривые'!$B$13:$K$13,1,MATCH(C51,'Исходные кривые'!$B$12:$K$12,1)+1)-INDEX('Исходные кривые'!$B$13:$K$13,1,MATCH(C51,'Исходные кривые'!$B$12:$K$12,1)))/(INDEX('Исходные кривые'!$B$12:$K$12,1,MATCH(C51,'Исходные кривые'!$B$12:$K$12,1)+1)-INDEX('Исходные кривые'!$B$12:$K$12,1,MATCH(C51,'Исходные кривые'!$B$12:$K$12,1)))))</f>
        <v>37.747945205479454</v>
      </c>
      <c r="G51" s="30">
        <f>IF(C51&lt;=MIN('Исходные кривые'!$B$12:$K$12),INDEX('Исходные кривые'!$B$14:$K$14,1,1),IF(C51&gt;=MAX('Исходные кривые'!$B$12:$K$12),INDEX('Исходные кривые'!$B$14:$K$14,1,COLUMNS('Исходные кривые'!$B$14:$K$14)),INDEX('Исходные кривые'!$B$14:$K$14,1,MATCH(C51,'Исходные кривые'!$B$12:$K$12,1))+(C51-INDEX('Исходные кривые'!$B$12:$K$12,1,MATCH(C51,'Исходные кривые'!$B$12:$K$12,1)))*(INDEX('Исходные кривые'!$B$14:$K$14,1,MATCH(C51,'Исходные кривые'!$B$12:$K$12,1)+1)-INDEX('Исходные кривые'!$B$14:$K$14,1,MATCH(C51,'Исходные кривые'!$B$12:$K$12,1)))/(INDEX('Исходные кривые'!$B$12:$K$12,1,MATCH(C51,'Исходные кривые'!$B$12:$K$12,1)+1)-INDEX('Исходные кривые'!$B$12:$K$12,1,MATCH(C51,'Исходные кривые'!$B$12:$K$12,1)))))</f>
        <v>-24.936986301369863</v>
      </c>
      <c r="H51" s="30">
        <f>IF(C51&lt;=MIN('Исходные кривые'!$B$17:$L$17),INDEX('Исходные кривые'!$B$18:$L$18,1,1),IF(C51&gt;=MAX('Исходные кривые'!$B$17:$L$17),INDEX('Исходные кривые'!$B$18:$L$18,1,COLUMNS('Исходные кривые'!$B$18:$L$18)),INDEX('Исходные кривые'!$B$18:$L$18,1,MATCH(C51,'Исходные кривые'!$B$17:$L$17,1))+(C51-INDEX('Исходные кривые'!$B$17:$L$17,1,MATCH(C51,'Исходные кривые'!$B$17:$L$17,1)))*(INDEX('Исходные кривые'!$B$18:$L$18,1,MATCH(C51,'Исходные кривые'!$B$17:$L$17,1)+1)-INDEX('Исходные кривые'!$B$18:$L$18,1,MATCH(C51,'Исходные кривые'!$B$17:$L$17,1)))/(INDEX('Исходные кривые'!$B$17:$L$17,1,MATCH(C51,'Исходные кривые'!$B$17:$L$17,1)+1)-INDEX('Исходные кривые'!$B$17:$L$17,1,MATCH(C51,'Исходные кривые'!$B$17:$L$17,1)))))</f>
        <v>5.4</v>
      </c>
      <c r="I51" s="30">
        <f>IF(C51&lt;=MIN('Исходные кривые'!$B$17:$L$17),INDEX('Исходные кривые'!$B$19:$L$19,1,1),IF(C51&gt;=MAX('Исходные кривые'!$B$17:$L$17),INDEX('Исходные кривые'!$B$19:$L$19,1,COLUMNS('Исходные кривые'!$B$19:$L$19)),INDEX('Исходные кривые'!$B$19:$L$19,1,MATCH(C51,'Исходные кривые'!$B$17:$L$17,1))+(C51-INDEX('Исходные кривые'!$B$17:$L$17,1,MATCH(C51,'Исходные кривые'!$B$17:$L$17,1)))*(INDEX('Исходные кривые'!$B$19:$L$19,1,MATCH(C51,'Исходные кривые'!$B$17:$L$17,1)+1)-INDEX('Исходные кривые'!$B$19:$L$19,1,MATCH(C51,'Исходные кривые'!$B$17:$L$17,1)))/(INDEX('Исходные кривые'!$B$17:$L$17,1,MATCH(C51,'Исходные кривые'!$B$17:$L$17,1)+1)-INDEX('Исходные кривые'!$B$17:$L$17,1,MATCH(C51,'Исходные кривые'!$B$17:$L$17,1)))))</f>
        <v>-1.9</v>
      </c>
    </row>
    <row r="52" spans="1:9">
      <c r="A52" s="20">
        <v>49431</v>
      </c>
      <c r="B52" s="29">
        <f>A52-Настройки!$B$4</f>
        <v>3228</v>
      </c>
      <c r="C52" s="30">
        <f>B52/Настройки!$B$5</f>
        <v>8.8438356164383567</v>
      </c>
      <c r="D52" s="30">
        <f>IF(C52&lt;=MIN('Исходные кривые'!$B$4:$L$4),INDEX('Исходные кривые'!$B$5:$L$5,1,1),IF(C52&gt;=MAX('Исходные кривые'!$B$4:$L$4),INDEX('Исходные кривые'!$B$5:$L$5,1,COLUMNS('Исходные кривые'!$B$5:$L$5)),INDEX('Исходные кривые'!$B$5:$L$5,1,MATCH(C52,'Исходные кривые'!$B$4:$L$4,1))+(C52-INDEX('Исходные кривые'!$B$4:$L$4,1,MATCH(C52,'Исходные кривые'!$B$4:$L$4,1)))*(INDEX('Исходные кривые'!$B$5:$L$5,1,MATCH(C52,'Исходные кривые'!$B$4:$L$4,1)+1)-INDEX('Исходные кривые'!$B$5:$L$5,1,MATCH(C52,'Исходные кривые'!$B$4:$L$4,1)))/(INDEX('Исходные кривые'!$B$4:$L$4,1,MATCH(C52,'Исходные кривые'!$B$4:$L$4,1)+1)-INDEX('Исходные кривые'!$B$4:$L$4,1,MATCH(C52,'Исходные кривые'!$B$4:$L$4,1)))))</f>
        <v>16.225844748858446</v>
      </c>
      <c r="E52" s="30">
        <f>IF(C52&lt;=MIN('Исходные кривые'!$B$8:$N$8),INDEX('Исходные кривые'!$B$9:$N$9,1,1),IF(C52&gt;=MAX('Исходные кривые'!$B$8:$N$8),INDEX('Исходные кривые'!$B$9:$N$9,1,COLUMNS('Исходные кривые'!$B$9:$N$9)),INDEX('Исходные кривые'!$B$9:$N$9,1,MATCH(C52,'Исходные кривые'!$B$8:$N$8,1))+(C52-INDEX('Исходные кривые'!$B$8:$N$8,1,MATCH(C52,'Исходные кривые'!$B$8:$N$8,1)))*(INDEX('Исходные кривые'!$B$9:$N$9,1,MATCH(C52,'Исходные кривые'!$B$8:$N$8,1)+1)-INDEX('Исходные кривые'!$B$9:$N$9,1,MATCH(C52,'Исходные кривые'!$B$8:$N$8,1)))/(INDEX('Исходные кривые'!$B$8:$N$8,1,MATCH(C52,'Исходные кривые'!$B$8:$N$8,1)+1)-INDEX('Исходные кривые'!$B$8:$N$8,1,MATCH(C52,'Исходные кривые'!$B$8:$N$8,1)))))</f>
        <v>18.225844748858446</v>
      </c>
      <c r="F52" s="30">
        <f>IF(C52&lt;=MIN('Исходные кривые'!$B$12:$K$12),INDEX('Исходные кривые'!$B$13:$K$13,1,1),IF(C52&gt;=MAX('Исходные кривые'!$B$12:$K$12),INDEX('Исходные кривые'!$B$13:$K$13,1,COLUMNS('Исходные кривые'!$B$13:$K$13)),INDEX('Исходные кривые'!$B$13:$K$13,1,MATCH(C52,'Исходные кривые'!$B$12:$K$12,1))+(C52-INDEX('Исходные кривые'!$B$12:$K$12,1,MATCH(C52,'Исходные кривые'!$B$12:$K$12,1)))*(INDEX('Исходные кривые'!$B$13:$K$13,1,MATCH(C52,'Исходные кривые'!$B$12:$K$12,1)+1)-INDEX('Исходные кривые'!$B$13:$K$13,1,MATCH(C52,'Исходные кривые'!$B$12:$K$12,1)))/(INDEX('Исходные кривые'!$B$12:$K$12,1,MATCH(C52,'Исходные кривые'!$B$12:$K$12,1)+1)-INDEX('Исходные кривые'!$B$12:$K$12,1,MATCH(C52,'Исходные кривые'!$B$12:$K$12,1)))))</f>
        <v>37.083105022831049</v>
      </c>
      <c r="G52" s="30">
        <f>IF(C52&lt;=MIN('Исходные кривые'!$B$12:$K$12),INDEX('Исходные кривые'!$B$14:$K$14,1,1),IF(C52&gt;=MAX('Исходные кривые'!$B$12:$K$12),INDEX('Исходные кривые'!$B$14:$K$14,1,COLUMNS('Исходные кривые'!$B$14:$K$14)),INDEX('Исходные кривые'!$B$14:$K$14,1,MATCH(C52,'Исходные кривые'!$B$12:$K$12,1))+(C52-INDEX('Исходные кривые'!$B$12:$K$12,1,MATCH(C52,'Исходные кривые'!$B$12:$K$12,1)))*(INDEX('Исходные кривые'!$B$14:$K$14,1,MATCH(C52,'Исходные кривые'!$B$12:$K$12,1)+1)-INDEX('Исходные кривые'!$B$14:$K$14,1,MATCH(C52,'Исходные кривые'!$B$12:$K$12,1)))/(INDEX('Исходные кривые'!$B$12:$K$12,1,MATCH(C52,'Исходные кривые'!$B$12:$K$12,1)+1)-INDEX('Исходные кривые'!$B$12:$K$12,1,MATCH(C52,'Исходные кривые'!$B$12:$K$12,1)))))</f>
        <v>-24.770776255707762</v>
      </c>
      <c r="H52" s="30">
        <f>IF(C52&lt;=MIN('Исходные кривые'!$B$17:$L$17),INDEX('Исходные кривые'!$B$18:$L$18,1,1),IF(C52&gt;=MAX('Исходные кривые'!$B$17:$L$17),INDEX('Исходные кривые'!$B$18:$L$18,1,COLUMNS('Исходные кривые'!$B$18:$L$18)),INDEX('Исходные кривые'!$B$18:$L$18,1,MATCH(C52,'Исходные кривые'!$B$17:$L$17,1))+(C52-INDEX('Исходные кривые'!$B$17:$L$17,1,MATCH(C52,'Исходные кривые'!$B$17:$L$17,1)))*(INDEX('Исходные кривые'!$B$18:$L$18,1,MATCH(C52,'Исходные кривые'!$B$17:$L$17,1)+1)-INDEX('Исходные кривые'!$B$18:$L$18,1,MATCH(C52,'Исходные кривые'!$B$17:$L$17,1)))/(INDEX('Исходные кривые'!$B$17:$L$17,1,MATCH(C52,'Исходные кривые'!$B$17:$L$17,1)+1)-INDEX('Исходные кривые'!$B$17:$L$17,1,MATCH(C52,'Исходные кривые'!$B$17:$L$17,1)))))</f>
        <v>5.4</v>
      </c>
      <c r="I52" s="30">
        <f>IF(C52&lt;=MIN('Исходные кривые'!$B$17:$L$17),INDEX('Исходные кривые'!$B$19:$L$19,1,1),IF(C52&gt;=MAX('Исходные кривые'!$B$17:$L$17),INDEX('Исходные кривые'!$B$19:$L$19,1,COLUMNS('Исходные кривые'!$B$19:$L$19)),INDEX('Исходные кривые'!$B$19:$L$19,1,MATCH(C52,'Исходные кривые'!$B$17:$L$17,1))+(C52-INDEX('Исходные кривые'!$B$17:$L$17,1,MATCH(C52,'Исходные кривые'!$B$17:$L$17,1)))*(INDEX('Исходные кривые'!$B$19:$L$19,1,MATCH(C52,'Исходные кривые'!$B$17:$L$17,1)+1)-INDEX('Исходные кривые'!$B$19:$L$19,1,MATCH(C52,'Исходные кривые'!$B$17:$L$17,1)))/(INDEX('Исходные кривые'!$B$17:$L$17,1,MATCH(C52,'Исходные кривые'!$B$17:$L$17,1)+1)-INDEX('Исходные кривые'!$B$17:$L$17,1,MATCH(C52,'Исходные кривые'!$B$17:$L$17,1)))))</f>
        <v>-1.9</v>
      </c>
    </row>
    <row r="53" spans="1:9">
      <c r="A53" s="20">
        <v>49521</v>
      </c>
      <c r="B53" s="29">
        <f>A53-Настройки!$B$4</f>
        <v>3318</v>
      </c>
      <c r="C53" s="30">
        <f>B53/Настройки!$B$5</f>
        <v>9.0904109589041102</v>
      </c>
      <c r="D53" s="30">
        <f>IF(C53&lt;=MIN('Исходные кривые'!$B$4:$L$4),INDEX('Исходные кривые'!$B$5:$L$5,1,1),IF(C53&gt;=MAX('Исходные кривые'!$B$4:$L$4),INDEX('Исходные кривые'!$B$5:$L$5,1,COLUMNS('Исходные кривые'!$B$5:$L$5)),INDEX('Исходные кривые'!$B$5:$L$5,1,MATCH(C53,'Исходные кривые'!$B$4:$L$4,1))+(C53-INDEX('Исходные кривые'!$B$4:$L$4,1,MATCH(C53,'Исходные кривые'!$B$4:$L$4,1)))*(INDEX('Исходные кривые'!$B$5:$L$5,1,MATCH(C53,'Исходные кривые'!$B$4:$L$4,1)+1)-INDEX('Исходные кривые'!$B$5:$L$5,1,MATCH(C53,'Исходные кривые'!$B$4:$L$4,1)))/(INDEX('Исходные кривые'!$B$4:$L$4,1,MATCH(C53,'Исходные кривые'!$B$4:$L$4,1)+1)-INDEX('Исходные кривые'!$B$4:$L$4,1,MATCH(C53,'Исходные кривые'!$B$4:$L$4,1)))))</f>
        <v>16.258721461187214</v>
      </c>
      <c r="E53" s="30">
        <f>IF(C53&lt;=MIN('Исходные кривые'!$B$8:$N$8),INDEX('Исходные кривые'!$B$9:$N$9,1,1),IF(C53&gt;=MAX('Исходные кривые'!$B$8:$N$8),INDEX('Исходные кривые'!$B$9:$N$9,1,COLUMNS('Исходные кривые'!$B$9:$N$9)),INDEX('Исходные кривые'!$B$9:$N$9,1,MATCH(C53,'Исходные кривые'!$B$8:$N$8,1))+(C53-INDEX('Исходные кривые'!$B$8:$N$8,1,MATCH(C53,'Исходные кривые'!$B$8:$N$8,1)))*(INDEX('Исходные кривые'!$B$9:$N$9,1,MATCH(C53,'Исходные кривые'!$B$8:$N$8,1)+1)-INDEX('Исходные кривые'!$B$9:$N$9,1,MATCH(C53,'Исходные кривые'!$B$8:$N$8,1)))/(INDEX('Исходные кривые'!$B$8:$N$8,1,MATCH(C53,'Исходные кривые'!$B$8:$N$8,1)+1)-INDEX('Исходные кривые'!$B$8:$N$8,1,MATCH(C53,'Исходные кривые'!$B$8:$N$8,1)))))</f>
        <v>18.258721461187214</v>
      </c>
      <c r="F53" s="30">
        <f>IF(C53&lt;=MIN('Исходные кривые'!$B$12:$K$12),INDEX('Исходные кривые'!$B$13:$K$13,1,1),IF(C53&gt;=MAX('Исходные кривые'!$B$12:$K$12),INDEX('Исходные кривые'!$B$13:$K$13,1,COLUMNS('Исходные кривые'!$B$13:$K$13)),INDEX('Исходные кривые'!$B$13:$K$13,1,MATCH(C53,'Исходные кривые'!$B$12:$K$12,1))+(C53-INDEX('Исходные кривые'!$B$12:$K$12,1,MATCH(C53,'Исходные кривые'!$B$12:$K$12,1)))*(INDEX('Исходные кривые'!$B$13:$K$13,1,MATCH(C53,'Исходные кривые'!$B$12:$K$12,1)+1)-INDEX('Исходные кривые'!$B$13:$K$13,1,MATCH(C53,'Исходные кривые'!$B$12:$K$12,1)))/(INDEX('Исходные кривые'!$B$12:$K$12,1,MATCH(C53,'Исходные кривые'!$B$12:$K$12,1)+1)-INDEX('Исходные кривые'!$B$12:$K$12,1,MATCH(C53,'Исходные кривые'!$B$12:$K$12,1)))))</f>
        <v>36.425570776255704</v>
      </c>
      <c r="G53" s="30">
        <f>IF(C53&lt;=MIN('Исходные кривые'!$B$12:$K$12),INDEX('Исходные кривые'!$B$14:$K$14,1,1),IF(C53&gt;=MAX('Исходные кривые'!$B$12:$K$12),INDEX('Исходные кривые'!$B$14:$K$14,1,COLUMNS('Исходные кривые'!$B$14:$K$14)),INDEX('Исходные кривые'!$B$14:$K$14,1,MATCH(C53,'Исходные кривые'!$B$12:$K$12,1))+(C53-INDEX('Исходные кривые'!$B$12:$K$12,1,MATCH(C53,'Исходные кривые'!$B$12:$K$12,1)))*(INDEX('Исходные кривые'!$B$14:$K$14,1,MATCH(C53,'Исходные кривые'!$B$12:$K$12,1)+1)-INDEX('Исходные кривые'!$B$14:$K$14,1,MATCH(C53,'Исходные кривые'!$B$12:$K$12,1)))/(INDEX('Исходные кривые'!$B$12:$K$12,1,MATCH(C53,'Исходные кривые'!$B$12:$K$12,1)+1)-INDEX('Исходные кривые'!$B$12:$K$12,1,MATCH(C53,'Исходные кривые'!$B$12:$K$12,1)))))</f>
        <v>-24.606392694063928</v>
      </c>
      <c r="H53" s="30">
        <f>IF(C53&lt;=MIN('Исходные кривые'!$B$17:$L$17),INDEX('Исходные кривые'!$B$18:$L$18,1,1),IF(C53&gt;=MAX('Исходные кривые'!$B$17:$L$17),INDEX('Исходные кривые'!$B$18:$L$18,1,COLUMNS('Исходные кривые'!$B$18:$L$18)),INDEX('Исходные кривые'!$B$18:$L$18,1,MATCH(C53,'Исходные кривые'!$B$17:$L$17,1))+(C53-INDEX('Исходные кривые'!$B$17:$L$17,1,MATCH(C53,'Исходные кривые'!$B$17:$L$17,1)))*(INDEX('Исходные кривые'!$B$18:$L$18,1,MATCH(C53,'Исходные кривые'!$B$17:$L$17,1)+1)-INDEX('Исходные кривые'!$B$18:$L$18,1,MATCH(C53,'Исходные кривые'!$B$17:$L$17,1)))/(INDEX('Исходные кривые'!$B$17:$L$17,1,MATCH(C53,'Исходные кривые'!$B$17:$L$17,1)+1)-INDEX('Исходные кривые'!$B$17:$L$17,1,MATCH(C53,'Исходные кривые'!$B$17:$L$17,1)))))</f>
        <v>5.4</v>
      </c>
      <c r="I53" s="30">
        <f>IF(C53&lt;=MIN('Исходные кривые'!$B$17:$L$17),INDEX('Исходные кривые'!$B$19:$L$19,1,1),IF(C53&gt;=MAX('Исходные кривые'!$B$17:$L$17),INDEX('Исходные кривые'!$B$19:$L$19,1,COLUMNS('Исходные кривые'!$B$19:$L$19)),INDEX('Исходные кривые'!$B$19:$L$19,1,MATCH(C53,'Исходные кривые'!$B$17:$L$17,1))+(C53-INDEX('Исходные кривые'!$B$17:$L$17,1,MATCH(C53,'Исходные кривые'!$B$17:$L$17,1)))*(INDEX('Исходные кривые'!$B$19:$L$19,1,MATCH(C53,'Исходные кривые'!$B$17:$L$17,1)+1)-INDEX('Исходные кривые'!$B$19:$L$19,1,MATCH(C53,'Исходные кривые'!$B$17:$L$17,1)))/(INDEX('Исходные кривые'!$B$17:$L$17,1,MATCH(C53,'Исходные кривые'!$B$17:$L$17,1)+1)-INDEX('Исходные кривые'!$B$17:$L$17,1,MATCH(C53,'Исходные кривые'!$B$17:$L$17,1)))))</f>
        <v>-1.9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workbookViewId="0"/>
  </sheetViews>
  <sheetFormatPr defaultRowHeight="13.8"/>
  <cols>
    <col min="1" max="1" width="34" customWidth="1"/>
    <col min="2" max="2" width="20" customWidth="1"/>
    <col min="3" max="6" width="15" customWidth="1"/>
    <col min="7" max="7" width="16" customWidth="1"/>
  </cols>
  <sheetData>
    <row r="1" spans="1:7" ht="28.05" customHeight="1">
      <c r="A1" s="33" t="s">
        <v>48</v>
      </c>
      <c r="B1" s="33" t="s">
        <v>48</v>
      </c>
      <c r="C1" s="33" t="s">
        <v>48</v>
      </c>
      <c r="D1" s="33" t="s">
        <v>48</v>
      </c>
      <c r="E1" s="33" t="s">
        <v>48</v>
      </c>
      <c r="F1" s="33" t="s">
        <v>48</v>
      </c>
      <c r="G1" s="33" t="s">
        <v>48</v>
      </c>
    </row>
    <row r="3" spans="1:7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</row>
    <row r="4" spans="1:7">
      <c r="A4" s="2" t="s">
        <v>56</v>
      </c>
      <c r="B4" s="2" t="s">
        <v>57</v>
      </c>
      <c r="C4" s="12">
        <f>Результаты!D5</f>
        <v>13.41</v>
      </c>
      <c r="D4" s="10">
        <v>13.41</v>
      </c>
      <c r="E4" s="10">
        <f t="shared" ref="E4:E9" si="0">C4-D4</f>
        <v>0</v>
      </c>
      <c r="F4" s="10">
        <v>1E-4</v>
      </c>
      <c r="G4" s="2" t="str">
        <f t="shared" ref="G4:G9" si="1">IF(ABS(E4)&lt;=F4,"OK","ПРОВЕРИТЬ")</f>
        <v>OK</v>
      </c>
    </row>
    <row r="5" spans="1:7">
      <c r="A5" s="2" t="s">
        <v>58</v>
      </c>
      <c r="B5" s="2" t="s">
        <v>59</v>
      </c>
      <c r="C5" s="12">
        <f>Результаты!E8</f>
        <v>16.946301369863015</v>
      </c>
      <c r="D5" s="10">
        <v>16.94630137</v>
      </c>
      <c r="E5" s="10">
        <f t="shared" si="0"/>
        <v>-1.3698553402718971E-10</v>
      </c>
      <c r="F5" s="10">
        <v>1E-4</v>
      </c>
      <c r="G5" s="2" t="str">
        <f t="shared" si="1"/>
        <v>OK</v>
      </c>
    </row>
    <row r="6" spans="1:7">
      <c r="A6" s="2" t="s">
        <v>60</v>
      </c>
      <c r="B6" s="2" t="s">
        <v>61</v>
      </c>
      <c r="C6" s="12">
        <f>Результаты!F8</f>
        <v>50.991780821917807</v>
      </c>
      <c r="D6" s="10">
        <v>50.991780820000002</v>
      </c>
      <c r="E6" s="10">
        <f t="shared" si="0"/>
        <v>1.9178045818080136E-9</v>
      </c>
      <c r="F6" s="10">
        <v>1E-4</v>
      </c>
      <c r="G6" s="2" t="str">
        <f t="shared" si="1"/>
        <v>OK</v>
      </c>
    </row>
    <row r="7" spans="1:7">
      <c r="A7" s="2" t="s">
        <v>62</v>
      </c>
      <c r="B7" s="2" t="s">
        <v>63</v>
      </c>
      <c r="C7" s="12">
        <f>Результаты!G8</f>
        <v>-27.4986301369863</v>
      </c>
      <c r="D7" s="10">
        <v>-27.498630139999999</v>
      </c>
      <c r="E7" s="10">
        <f t="shared" si="0"/>
        <v>3.0136995121665677E-9</v>
      </c>
      <c r="F7" s="10">
        <v>1E-4</v>
      </c>
      <c r="G7" s="2" t="str">
        <f t="shared" si="1"/>
        <v>OK</v>
      </c>
    </row>
    <row r="8" spans="1:7">
      <c r="A8" s="2" t="s">
        <v>64</v>
      </c>
      <c r="B8" s="2" t="s">
        <v>65</v>
      </c>
      <c r="C8" s="12">
        <f>Результаты!H5</f>
        <v>6</v>
      </c>
      <c r="D8" s="10">
        <v>6</v>
      </c>
      <c r="E8" s="10">
        <f t="shared" si="0"/>
        <v>0</v>
      </c>
      <c r="F8" s="10">
        <v>1E-4</v>
      </c>
      <c r="G8" s="2" t="str">
        <f t="shared" si="1"/>
        <v>OK</v>
      </c>
    </row>
    <row r="9" spans="1:7">
      <c r="A9" s="2" t="s">
        <v>66</v>
      </c>
      <c r="B9" s="2" t="s">
        <v>67</v>
      </c>
      <c r="C9" s="12">
        <f>Результаты!I5</f>
        <v>-5</v>
      </c>
      <c r="D9" s="10">
        <v>-5</v>
      </c>
      <c r="E9" s="10">
        <f t="shared" si="0"/>
        <v>0</v>
      </c>
      <c r="F9" s="10">
        <v>1E-4</v>
      </c>
      <c r="G9" s="2" t="str">
        <f t="shared" si="1"/>
        <v>OK</v>
      </c>
    </row>
    <row r="11" spans="1:7">
      <c r="A11" s="35" t="s">
        <v>68</v>
      </c>
      <c r="B11" s="35"/>
      <c r="C11" s="35"/>
      <c r="D11" s="35"/>
      <c r="E11" s="35"/>
      <c r="F11" s="35"/>
      <c r="G11" s="2" t="str">
        <f>IF(COUNTIF(G4:G9,"ПРОВЕРИТЬ")=0,"OK","ПРОВЕРИТЬ")</f>
        <v>OK</v>
      </c>
    </row>
    <row r="13" spans="1:7">
      <c r="A13" s="31" t="s">
        <v>69</v>
      </c>
      <c r="B13" s="31" t="s">
        <v>50</v>
      </c>
      <c r="C13" s="31" t="s">
        <v>51</v>
      </c>
      <c r="D13" s="31" t="s">
        <v>52</v>
      </c>
      <c r="E13" s="31" t="s">
        <v>53</v>
      </c>
      <c r="F13" s="31" t="s">
        <v>54</v>
      </c>
      <c r="G13" s="31" t="s">
        <v>55</v>
      </c>
    </row>
    <row r="14" spans="1:7">
      <c r="A14" s="2" t="s">
        <v>70</v>
      </c>
      <c r="B14" s="2" t="s">
        <v>71</v>
      </c>
      <c r="C14" s="32">
        <f>Результаты!A21</f>
        <v>46784</v>
      </c>
      <c r="D14" s="32">
        <v>46692</v>
      </c>
      <c r="E14" s="2">
        <f>C14-D14</f>
        <v>92</v>
      </c>
      <c r="F14" s="2">
        <v>0</v>
      </c>
      <c r="G14" s="2" t="str">
        <f>IF(ABS(E14)&lt;=F14,"OK","ПРОВЕРИТЬ")</f>
        <v>ПРОВЕРИТЬ</v>
      </c>
    </row>
    <row r="15" spans="1:7">
      <c r="A15" s="2" t="s">
        <v>72</v>
      </c>
      <c r="B15" s="2" t="s">
        <v>73</v>
      </c>
      <c r="C15" s="10">
        <f>Результаты!I59</f>
        <v>0</v>
      </c>
      <c r="D15" s="10">
        <v>-1.9</v>
      </c>
      <c r="E15" s="10">
        <f>C15-D15</f>
        <v>1.9</v>
      </c>
      <c r="F15" s="10">
        <v>1E-4</v>
      </c>
      <c r="G15" s="2" t="str">
        <f>IF(ABS(E15)&lt;=F15,"OK","ПРОВЕРИТЬ")</f>
        <v>ПРОВЕРИТЬ</v>
      </c>
    </row>
  </sheetData>
  <mergeCells count="2">
    <mergeCell ref="A1:G1"/>
    <mergeCell ref="A11:F11"/>
  </mergeCells>
  <conditionalFormatting sqref="G4:G11">
    <cfRule type="containsText" dxfId="3" priority="1" operator="containsText" text="OK"/>
    <cfRule type="containsText" dxfId="2" priority="2" operator="containsText" text="ПРОВЕРИТЬ"/>
  </conditionalFormatting>
  <conditionalFormatting sqref="G14:G15">
    <cfRule type="containsText" dxfId="1" priority="3" operator="containsText" text="OK"/>
    <cfRule type="containsText" dxfId="0" priority="4" operator="containsText" text="ПРОВЕРИТЬ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Настройки</vt:lpstr>
      <vt:lpstr>Исходные кривые</vt:lpstr>
      <vt:lpstr>Результаты</vt:lpstr>
      <vt:lpstr>Проверки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Бирюков</cp:lastModifiedBy>
  <dcterms:modified xsi:type="dcterms:W3CDTF">2026-08-25T13:49:56Z</dcterms:modified>
</cp:coreProperties>
</file>