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43a934bc9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стройки" sheetId="1" r:id="R631bd2c7beed4da1"/>
    <x:sheet xmlns:r="http://schemas.openxmlformats.org/officeDocument/2006/relationships" name="Исходные кривые" sheetId="2" r:id="Rc209eec6d2ec4532"/>
    <x:sheet xmlns:r="http://schemas.openxmlformats.org/officeDocument/2006/relationships" name="Результаты" sheetId="3" r:id="Re23eb17a8e5842e5"/>
    <x:sheet xmlns:r="http://schemas.openxmlformats.org/officeDocument/2006/relationships" name="Проверки" sheetId="4" r:id="R042320eaee52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.00"/>
    <x:numFmt numFmtId="202" formatCode="0"/>
    <x:numFmt numFmtId="203" formatCode="0.00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1F4E78"/>
      <x:name val="Carlito"/>
    </x:font>
    <x:font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</x:fills>
  <x:borders count="3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B4C6D7"/>
      </x:left>
      <x:right style="thin">
        <x:color rgb="FFB4C6D7"/>
      </x:right>
      <x:top style="medium">
        <x:color rgb="FF1F4E78"/>
      </x:top>
      <x:bottom style="thin">
        <x:color rgb="FFB4C6D7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201" fontId="4" fillId="4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2" fillId="2" borderId="1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2" fontId="5" fillId="0" borderId="1" xfId="0" applyNumberFormat="1" applyFont="1" applyFill="1" applyBorder="1"/>
    <x:xf numFmtId="203" fontId="5" fillId="0" borderId="1" xfId="0" applyNumberFormat="1" applyFont="1" applyFill="1" applyBorder="1"/>
    <x:xf numFmtId="0" fontId="3" fillId="5" borderId="1" xfId="0" applyNumberFormat="1" applyFont="1" applyFill="1" applyBorder="1"/>
    <x:xf numFmtId="200" fontId="3" fillId="5" borderId="1" xfId="0" applyNumberFormat="1" applyFont="1" applyFill="1" applyBorder="1"/>
    <x:xf numFmtId="202" fontId="5" fillId="5" borderId="1" xfId="0" applyNumberFormat="1" applyFont="1" applyFill="1" applyBorder="1"/>
    <x:xf numFmtId="203" fontId="5" fillId="5" borderId="1" xfId="0" applyNumberFormat="1" applyFont="1" applyFill="1" applyBorder="1"/>
    <x:xf numFmtId="0" fontId="3" fillId="0" borderId="2" xfId="0" applyNumberFormat="1" applyFont="1" applyFill="1" applyBorder="1"/>
    <x:xf numFmtId="200" fontId="3" fillId="0" borderId="2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0" fontId="5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e414f99ad4546" /><Relationship Type="http://schemas.openxmlformats.org/officeDocument/2006/relationships/theme" Target="/xl/theme/theme1.xml" Id="R8332132ccc814548" /><Relationship Type="http://schemas.openxmlformats.org/officeDocument/2006/relationships/sharedStrings" Target="/xl/sharedStrings.xml" Id="R19557e50d737453b" /><Relationship Type="http://schemas.openxmlformats.org/officeDocument/2006/relationships/worksheet" Target="/xl/worksheets/sheet1.xml" Id="R631bd2c7beed4da1" /><Relationship Type="http://schemas.openxmlformats.org/officeDocument/2006/relationships/worksheet" Target="/xl/worksheets/sheet2.xml" Id="Rc209eec6d2ec4532" /><Relationship Type="http://schemas.openxmlformats.org/officeDocument/2006/relationships/worksheet" Target="/xl/worksheets/sheet3.xml" Id="Re23eb17a8e5842e5" /><Relationship Type="http://schemas.openxmlformats.org/officeDocument/2006/relationships/worksheet" Target="/xl/worksheets/sheet4.xml" Id="R042320eaee5242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48" hidden="0" customWidth="1"/>
  </x:cols>
  <x:sheetData>
    <x:row r="1" ht="28" customHeight="1">
      <x:c r="A1" s="3" t="str">
        <x:v>Сводная интерполяция процентных кривых</x:v>
      </x:c>
      <x:c r="B1" s="3" t="str">
        <x:v>Сводная интерполяция процентных кривых</x:v>
      </x:c>
      <x:c r="C1" s="3" t="str">
        <x:v>Сводная интерполяция процентных кривых</x:v>
      </x:c>
      <x:c r="D1" s="3" t="str">
        <x:v>Сводная интерполяция процентных кривых</x:v>
      </x:c>
    </x:row>
    <x:row r="3">
      <x:c r="A3" s="8" t="str">
        <x:v>Параметр</x:v>
      </x:c>
      <x:c r="B3" s="8" t="str">
        <x:v>Значение</x:v>
      </x:c>
    </x:row>
    <x:row r="4">
      <x:c r="A4" s="9" t="str">
        <x:v>Дата отчёта</x:v>
      </x:c>
      <x:c r="B4" s="12" t="n">
        <x:v>46203</x:v>
      </x:c>
    </x:row>
    <x:row r="5">
      <x:c r="A5" s="9" t="str">
        <x:v>Дневная база</x:v>
      </x:c>
      <x:c r="B5" s="11" t="n">
        <x:v>365</x:v>
      </x:c>
    </x:row>
    <x:row r="6">
      <x:c r="A6" s="9" t="str">
        <x:v>Метод</x:v>
      </x:c>
      <x:c r="B6" s="11" t="str">
        <x:v>Линейная интерполяция</x:v>
      </x:c>
    </x:row>
    <x:row r="8">
      <x:c r="A8" s="8" t="str">
        <x:v>Обозначение</x:v>
      </x:c>
      <x:c r="B8" s="8" t="str">
        <x:v>Единица</x:v>
      </x:c>
      <x:c r="C8" s="8" t="str">
        <x:v>Тип</x:v>
      </x:c>
      <x:c r="D8" s="8" t="str">
        <x:v>Примечание</x:v>
      </x:c>
    </x:row>
    <x:row r="9">
      <x:c r="A9" s="9" t="str">
        <x:v>КБД</x:v>
      </x:c>
      <x:c r="B9" s="9" t="str">
        <x:v>%</x:v>
      </x:c>
      <x:c r="C9" s="9" t="str">
        <x:v>Исходная кривая</x:v>
      </x:c>
      <x:c r="D9" s="9" t="str">
        <x:v>КБД Московской биржи на 30.06.2026</x:v>
      </x:c>
    </x:row>
    <x:row r="10">
      <x:c r="A10" s="9" t="str">
        <x:v>Сценарная кривая</x:v>
      </x:c>
      <x:c r="B10" s="9" t="str">
        <x:v>%</x:v>
      </x:c>
      <x:c r="C10" s="9" t="str">
        <x:v>Сценарий</x:v>
      </x:c>
      <x:c r="D10" s="9" t="str">
        <x:v>КБД со сценарным сдвигом из исходной таблицы</x:v>
      </x:c>
    </x:row>
    <x:row r="11">
      <x:c r="A11" s="9" t="str">
        <x:v>ЦБ_shock_up/down</x:v>
      </x:c>
      <x:c r="B11" s="9" t="str">
        <x:v>б.п.</x:v>
      </x:c>
      <x:c r="C11" s="9" t="str">
        <x:v>Шок</x:v>
      </x:c>
      <x:c r="D11" s="9" t="str">
        <x:v>Значения из таблицы ЦБ</x:v>
      </x:c>
    </x:row>
    <x:row r="12">
      <x:c r="A12" s="9" t="str">
        <x:v>RUB вверх/вниз</x:v>
      </x:c>
      <x:c r="B12" s="9" t="str">
        <x:v>п.п.</x:v>
      </x:c>
      <x:c r="C12" s="9" t="str">
        <x:v>Шок</x:v>
      </x:c>
      <x:c r="D12" s="9" t="str">
        <x:v>Рублёвые процентные сдвиги</x:v>
      </x:c>
    </x:row>
    <x:row r="14">
      <x:c r="A14" s="15" t="str">
        <x:v>Правила расчёта</x:v>
      </x:c>
      <x:c r="B14" s="15"/>
      <x:c r="C14" s="15"/>
      <x:c r="D14" s="15"/>
    </x:row>
    <x:row r="15">
      <x:c r="A15" s="9" t="str">
        <x:v>Срок</x:v>
      </x:c>
      <x:c r="B15" s="9" t="str">
        <x:v>(дата платежа − дата отчёта) / 365</x:v>
      </x:c>
      <x:c r="C15" s="9"/>
      <x:c r="D15" s="9"/>
    </x:row>
    <x:row r="16">
      <x:c r="A16" s="9" t="str">
        <x:v>За границами</x:v>
      </x:c>
      <x:c r="B16" s="9" t="str">
        <x:v>Используется ближайшее крайнее значение кривой</x:v>
      </x:c>
      <x:c r="C16" s="9"/>
      <x:c r="D16" s="9"/>
    </x:row>
  </x:sheetData>
  <x:mergeCells>
    <x:mergeCell ref="A1:D1"/>
    <x:mergeCell ref="A14:D14"/>
    <x:mergeCell ref="B15:D15"/>
    <x:mergeCell ref="B16:D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8" customHeight="1">
      <x:c r="A1" s="3" t="str">
        <x:v>Исходные узлы кривых</x:v>
      </x:c>
      <x:c r="B1" s="3" t="str">
        <x:v>Исходные узлы кривых</x:v>
      </x:c>
      <x:c r="C1" s="3" t="str">
        <x:v>Исходные узлы кривых</x:v>
      </x:c>
      <x:c r="D1" s="3" t="str">
        <x:v>Исходные узлы кривых</x:v>
      </x:c>
      <x:c r="E1" s="3" t="str">
        <x:v>Исходные узлы кривых</x:v>
      </x:c>
      <x:c r="F1" s="3" t="str">
        <x:v>Исходные узлы кривых</x:v>
      </x:c>
      <x:c r="G1" s="3" t="str">
        <x:v>Исходные узлы кривых</x:v>
      </x:c>
      <x:c r="H1" s="3" t="str">
        <x:v>Исходные узлы кривых</x:v>
      </x:c>
      <x:c r="I1" s="3" t="str">
        <x:v>Исходные узлы кривых</x:v>
      </x:c>
      <x:c r="J1" s="3" t="str">
        <x:v>Исходные узлы кривых</x:v>
      </x:c>
      <x:c r="K1" s="3" t="str">
        <x:v>Исходные узлы кривых</x:v>
      </x:c>
      <x:c r="L1" s="3" t="str">
        <x:v>Исходные узлы кривых</x:v>
      </x:c>
      <x:c r="M1" s="3" t="str">
        <x:v>Исходные узлы кривых</x:v>
      </x:c>
      <x:c r="N1" s="3" t="str">
        <x:v>Исходные узлы кривых</x:v>
      </x:c>
      <x:c r="O1" s="3" t="str">
        <x:v>Исходные узлы кривых</x:v>
      </x:c>
    </x:row>
    <x:row r="3">
      <x:c r="A3" s="17" t="str">
        <x:v>КБД Московской биржи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4">
      <x:c r="A4" s="18" t="str">
        <x:v>Срок, лет</x:v>
      </x:c>
      <x:c r="B4" s="19" t="n">
        <x:v>0.25</x:v>
      </x:c>
      <x:c r="C4" s="19" t="n">
        <x:v>0.5</x:v>
      </x:c>
      <x:c r="D4" s="19" t="n">
        <x:v>0.75</x:v>
      </x:c>
      <x:c r="E4" s="19" t="n">
        <x:v>1</x:v>
      </x:c>
      <x:c r="F4" s="19" t="n">
        <x:v>2</x:v>
      </x:c>
      <x:c r="G4" s="19" t="n">
        <x:v>3</x:v>
      </x:c>
      <x:c r="H4" s="19" t="n">
        <x:v>5</x:v>
      </x:c>
      <x:c r="I4" s="19" t="n">
        <x:v>7</x:v>
      </x:c>
      <x:c r="J4" s="19" t="n">
        <x:v>10</x:v>
      </x:c>
      <x:c r="K4" s="19" t="n">
        <x:v>15</x:v>
      </x:c>
      <x:c r="L4" s="19" t="n">
        <x:v>20</x:v>
      </x:c>
      <x:c r="M4" s="20"/>
      <x:c r="N4" s="20"/>
    </x:row>
    <x:row r="5">
      <x:c r="A5" s="9" t="str">
        <x:v>КБД, %</x:v>
      </x:c>
      <x:c r="B5" s="21" t="n">
        <x:v>13.59</x:v>
      </x:c>
      <x:c r="C5" s="21" t="n">
        <x:v>13.44</x:v>
      </x:c>
      <x:c r="D5" s="21" t="n">
        <x:v>13.39</x:v>
      </x:c>
      <x:c r="E5" s="21" t="n">
        <x:v>13.41</x:v>
      </x:c>
      <x:c r="F5" s="21" t="n">
        <x:v>13.87</x:v>
      </x:c>
      <x:c r="G5" s="21" t="n">
        <x:v>14.47</x:v>
      </x:c>
      <x:c r="H5" s="21" t="n">
        <x:v>15.42</x:v>
      </x:c>
      <x:c r="I5" s="21" t="n">
        <x:v>15.98</x:v>
      </x:c>
      <x:c r="J5" s="21" t="n">
        <x:v>16.38</x:v>
      </x:c>
      <x:c r="K5" s="21" t="n">
        <x:v>16.65</x:v>
      </x:c>
      <x:c r="L5" s="21" t="n">
        <x:v>16.78</x:v>
      </x:c>
      <x:c r="M5" s="20"/>
      <x:c r="N5" s="20"/>
    </x:row>
    <x:row r="6"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</x:row>
    <x:row r="7">
      <x:c r="A7" s="17" t="str">
        <x:v>Сценарная кривая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</x:row>
    <x:row r="8">
      <x:c r="A8" s="18" t="str">
        <x:v>Срок, лет</x:v>
      </x:c>
      <x:c r="B8" s="19" t="n">
        <x:v>0</x:v>
      </x:c>
      <x:c r="C8" s="19" t="n">
        <x:v>0.25</x:v>
      </x:c>
      <x:c r="D8" s="19" t="n">
        <x:v>0.5</x:v>
      </x:c>
      <x:c r="E8" s="19" t="n">
        <x:v>0.75</x:v>
      </x:c>
      <x:c r="F8" s="19" t="n">
        <x:v>1</x:v>
      </x:c>
      <x:c r="G8" s="19" t="n">
        <x:v>2</x:v>
      </x:c>
      <x:c r="H8" s="19" t="n">
        <x:v>3</x:v>
      </x:c>
      <x:c r="I8" s="19" t="n">
        <x:v>5</x:v>
      </x:c>
      <x:c r="J8" s="19" t="n">
        <x:v>7</x:v>
      </x:c>
      <x:c r="K8" s="19" t="n">
        <x:v>10</x:v>
      </x:c>
      <x:c r="L8" s="19" t="n">
        <x:v>15</x:v>
      </x:c>
      <x:c r="M8" s="19" t="n">
        <x:v>20</x:v>
      </x:c>
      <x:c r="N8" s="19" t="n">
        <x:v>30</x:v>
      </x:c>
    </x:row>
    <x:row r="9">
      <x:c r="A9" s="9" t="str">
        <x:v>Ставка, %</x:v>
      </x:c>
      <x:c r="B9" s="21" t="n">
        <x:v>15.59</x:v>
      </x:c>
      <x:c r="C9" s="21" t="n">
        <x:v>15.59</x:v>
      </x:c>
      <x:c r="D9" s="21" t="n">
        <x:v>15.44</x:v>
      </x:c>
      <x:c r="E9" s="21" t="n">
        <x:v>15.39</x:v>
      </x:c>
      <x:c r="F9" s="21" t="n">
        <x:v>15.41</x:v>
      </x:c>
      <x:c r="G9" s="21" t="n">
        <x:v>15.87</x:v>
      </x:c>
      <x:c r="H9" s="21" t="n">
        <x:v>16.47</x:v>
      </x:c>
      <x:c r="I9" s="21" t="n">
        <x:v>17.42</x:v>
      </x:c>
      <x:c r="J9" s="21" t="n">
        <x:v>17.98</x:v>
      </x:c>
      <x:c r="K9" s="21" t="n">
        <x:v>18.38</x:v>
      </x:c>
      <x:c r="L9" s="21" t="n">
        <x:v>18.65</x:v>
      </x:c>
      <x:c r="M9" s="21" t="n">
        <x:v>18.78</x:v>
      </x:c>
      <x:c r="N9" s="21" t="n">
        <x:v>18.93</x:v>
      </x:c>
    </x:row>
    <x:row r="10"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</x:row>
    <x:row r="11">
      <x:c r="A11" s="17" t="str">
        <x:v>Шоки ЦБ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0"/>
      <x:c r="M11" s="20"/>
      <x:c r="N11" s="20"/>
    </x:row>
    <x:row r="12">
      <x:c r="A12" s="18" t="str">
        <x:v>Срок, лет</x:v>
      </x:c>
      <x:c r="B12" s="19" t="n">
        <x:v>0.25</x:v>
      </x:c>
      <x:c r="C12" s="19" t="n">
        <x:v>0.5</x:v>
      </x:c>
      <x:c r="D12" s="19" t="n">
        <x:v>1</x:v>
      </x:c>
      <x:c r="E12" s="19" t="n">
        <x:v>2</x:v>
      </x:c>
      <x:c r="F12" s="19" t="n">
        <x:v>3</x:v>
      </x:c>
      <x:c r="G12" s="19" t="n">
        <x:v>5</x:v>
      </x:c>
      <x:c r="H12" s="19" t="n">
        <x:v>7</x:v>
      </x:c>
      <x:c r="I12" s="19" t="n">
        <x:v>10</x:v>
      </x:c>
      <x:c r="J12" s="19" t="n">
        <x:v>20</x:v>
      </x:c>
      <x:c r="K12" s="19" t="n">
        <x:v>30</x:v>
      </x:c>
      <x:c r="L12" s="20"/>
      <x:c r="M12" s="20"/>
      <x:c r="N12" s="20"/>
    </x:row>
    <x:row r="13">
      <x:c r="A13" s="9" t="str">
        <x:v>ЦБ_shock_up, б.п.</x:v>
      </x:c>
      <x:c r="B13" s="21" t="n">
        <x:v>62</x:v>
      </x:c>
      <x:c r="C13" s="21" t="n">
        <x:v>59</x:v>
      </x:c>
      <x:c r="D13" s="21" t="n">
        <x:v>58</x:v>
      </x:c>
      <x:c r="E13" s="21" t="n">
        <x:v>55</x:v>
      </x:c>
      <x:c r="F13" s="21" t="n">
        <x:v>54</x:v>
      </x:c>
      <x:c r="G13" s="21" t="n">
        <x:v>48</x:v>
      </x:c>
      <x:c r="H13" s="21" t="n">
        <x:v>42</x:v>
      </x:c>
      <x:c r="I13" s="21" t="n">
        <x:v>34</x:v>
      </x:c>
      <x:c r="J13" s="21" t="n">
        <x:v>20</x:v>
      </x:c>
      <x:c r="K13" s="21" t="n">
        <x:v>14</x:v>
      </x:c>
      <x:c r="L13" s="20"/>
      <x:c r="M13" s="20"/>
      <x:c r="N13" s="20"/>
    </x:row>
    <x:row r="14">
      <x:c r="A14" s="9" t="str">
        <x:v>ЦБ_shock_down, б.п.</x:v>
      </x:c>
      <x:c r="B14" s="21" t="n">
        <x:v>-38</x:v>
      </x:c>
      <x:c r="C14" s="21" t="n">
        <x:v>-35</x:v>
      </x:c>
      <x:c r="D14" s="21" t="n">
        <x:v>-31</x:v>
      </x:c>
      <x:c r="E14" s="21" t="n">
        <x:v>-29</x:v>
      </x:c>
      <x:c r="F14" s="21" t="n">
        <x:v>-28</x:v>
      </x:c>
      <x:c r="G14" s="21" t="n">
        <x:v>-27</x:v>
      </x:c>
      <x:c r="H14" s="21" t="n">
        <x:v>-26</x:v>
      </x:c>
      <x:c r="I14" s="21" t="n">
        <x:v>-24</x:v>
      </x:c>
      <x:c r="J14" s="21" t="n">
        <x:v>-18</x:v>
      </x:c>
      <x:c r="K14" s="21" t="n">
        <x:v>-15</x:v>
      </x:c>
      <x:c r="L14" s="20"/>
      <x:c r="M14" s="20"/>
      <x:c r="N14" s="20"/>
    </x:row>
    <x:row r="15"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</x:row>
    <x:row r="16">
      <x:c r="A16" s="17" t="str">
        <x:v>Сдвиги RUB</x:v>
      </x:c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0"/>
      <x:c r="N16" s="20"/>
    </x:row>
    <x:row r="17">
      <x:c r="A17" s="18" t="str">
        <x:v>Срок, лет</x:v>
      </x:c>
      <x:c r="B17" s="19" t="n">
        <x:v>0</x:v>
      </x:c>
      <x:c r="C17" s="19" t="n">
        <x:v>0.08</x:v>
      </x:c>
      <x:c r="D17" s="19" t="n">
        <x:v>0.25</x:v>
      </x:c>
      <x:c r="E17" s="19" t="n">
        <x:v>0.5</x:v>
      </x:c>
      <x:c r="F17" s="19" t="n">
        <x:v>0.75</x:v>
      </x:c>
      <x:c r="G17" s="19" t="n">
        <x:v>1</x:v>
      </x:c>
      <x:c r="H17" s="19" t="n">
        <x:v>2</x:v>
      </x:c>
      <x:c r="I17" s="19" t="n">
        <x:v>3</x:v>
      </x:c>
      <x:c r="J17" s="19" t="n">
        <x:v>4</x:v>
      </x:c>
      <x:c r="K17" s="19" t="n">
        <x:v>5</x:v>
      </x:c>
      <x:c r="L17" s="19" t="n">
        <x:v>100</x:v>
      </x:c>
      <x:c r="M17" s="20"/>
      <x:c r="N17" s="20"/>
    </x:row>
    <x:row r="18">
      <x:c r="A18" s="9" t="str">
        <x:v>Сдвиг вверх, п.п.</x:v>
      </x:c>
      <x:c r="B18" s="21" t="n">
        <x:v>5.75</x:v>
      </x:c>
      <x:c r="C18" s="21" t="n">
        <x:v>5.75</x:v>
      </x:c>
      <x:c r="D18" s="21" t="n">
        <x:v>5.75</x:v>
      </x:c>
      <x:c r="E18" s="21" t="n">
        <x:v>4.8</x:v>
      </x:c>
      <x:c r="F18" s="21" t="n">
        <x:v>5.2</x:v>
      </x:c>
      <x:c r="G18" s="21" t="n">
        <x:v>6</x:v>
      </x:c>
      <x:c r="H18" s="21" t="n">
        <x:v>7.25</x:v>
      </x:c>
      <x:c r="I18" s="21" t="n">
        <x:v>6.4</x:v>
      </x:c>
      <x:c r="J18" s="21" t="n">
        <x:v>6.15</x:v>
      </x:c>
      <x:c r="K18" s="21" t="n">
        <x:v>5.4</x:v>
      </x:c>
      <x:c r="L18" s="21" t="n">
        <x:v>5.4</x:v>
      </x:c>
      <x:c r="M18" s="20"/>
      <x:c r="N18" s="20"/>
    </x:row>
    <x:row r="19">
      <x:c r="A19" s="9" t="str">
        <x:v>Сдвиг вниз, п.п.</x:v>
      </x:c>
      <x:c r="B19" s="21" t="n">
        <x:v>-2.55</x:v>
      </x:c>
      <x:c r="C19" s="21" t="n">
        <x:v>-2.55</x:v>
      </x:c>
      <x:c r="D19" s="21" t="n">
        <x:v>-2.55</x:v>
      </x:c>
      <x:c r="E19" s="21" t="n">
        <x:v>-3.35</x:v>
      </x:c>
      <x:c r="F19" s="21" t="n">
        <x:v>-4.3</x:v>
      </x:c>
      <x:c r="G19" s="21" t="n">
        <x:v>-5</x:v>
      </x:c>
      <x:c r="H19" s="21" t="n">
        <x:v>-4.7</x:v>
      </x:c>
      <x:c r="I19" s="21" t="n">
        <x:v>-3.65</x:v>
      </x:c>
      <x:c r="J19" s="21" t="n">
        <x:v>-2.85</x:v>
      </x:c>
      <x:c r="K19" s="21" t="n">
        <x:v>-1.9</x:v>
      </x:c>
      <x:c r="L19" s="21" t="n">
        <x:v>-1.9</x:v>
      </x:c>
      <x:c r="M19" s="20"/>
      <x:c r="N19" s="20"/>
    </x:row>
  </x:sheetData>
  <x:mergeCells>
    <x:mergeCell ref="A1:O1"/>
    <x:mergeCell ref="A3:L3"/>
    <x:mergeCell ref="A7:N7"/>
    <x:mergeCell ref="A11:K11"/>
    <x:mergeCell ref="A16:L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20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8" customHeight="1">
      <x:c r="A1" s="3" t="str">
        <x:v>Все интерполяции на заданные даты</x:v>
      </x:c>
      <x:c r="B1" s="3" t="str">
        <x:v>Все интерполяции на заданные даты</x:v>
      </x:c>
      <x:c r="C1" s="3" t="str">
        <x:v>Все интерполяции на заданные даты</x:v>
      </x:c>
      <x:c r="D1" s="3" t="str">
        <x:v>Все интерполяции на заданные даты</x:v>
      </x:c>
      <x:c r="E1" s="3" t="str">
        <x:v>Все интерполяции на заданные даты</x:v>
      </x:c>
      <x:c r="F1" s="3" t="str">
        <x:v>Все интерполяции на заданные даты</x:v>
      </x:c>
      <x:c r="G1" s="3" t="str">
        <x:v>Все интерполяции на заданные даты</x:v>
      </x:c>
      <x:c r="H1" s="3" t="str">
        <x:v>Все интерполяции на заданные даты</x:v>
      </x:c>
      <x:c r="I1" s="3" t="str">
        <x:v>Все интерполяции на заданные даты</x:v>
      </x:c>
      <x:c r="J1" s="3" t="str">
        <x:v>Все интерполяции на заданные даты</x:v>
      </x:c>
    </x:row>
    <x:row r="3" ht="42" customHeight="1">
      <x:c r="A3" s="8" t="str">
        <x:v>Набор дат</x:v>
      </x:c>
      <x:c r="B3" s="8" t="str">
        <x:v>Дата</x:v>
      </x:c>
      <x:c r="C3" s="8" t="str">
        <x:v>Дней</x:v>
      </x:c>
      <x:c r="D3" s="8" t="str">
        <x:v>Срок ACT/365, лет</x:v>
      </x:c>
      <x:c r="E3" s="8" t="str">
        <x:v>КБД, %</x:v>
      </x:c>
      <x:c r="F3" s="8" t="str">
        <x:v>Сценарная кривая, %</x:v>
      </x:c>
      <x:c r="G3" s="8" t="str">
        <x:v>ЦБ_shock_up, б.п.</x:v>
      </x:c>
      <x:c r="H3" s="8" t="str">
        <x:v>ЦБ_shock_down, б.п.</x:v>
      </x:c>
      <x:c r="I3" s="8" t="str">
        <x:v>RUB вверх, п.п.</x:v>
      </x:c>
      <x:c r="J3" s="8" t="str">
        <x:v>RUB вниз, п.п.</x:v>
      </x:c>
    </x:row>
    <x:row r="4">
      <x:c r="A4" s="32" t="str">
        <x:v>Годовые даты</x:v>
      </x:c>
      <x:c r="B4" s="33" t="n">
        <x:v>46203</x:v>
      </x:c>
      <x:c r="C4" s="34" t="n">
        <x:f>B4-'Настройки'!$B$4</x:f>
        <x:v>0</x:v>
      </x:c>
      <x:c r="D4" s="35" t="n">
        <x:f>C4/'Настройки'!$B$5</x:f>
        <x:v>0</x:v>
      </x:c>
      <x:c r="E4" s="35" t="n">
        <x:f>IF(D4&lt;=MIN('Исходные кривые'!$B$4:$L$4),INDEX('Исходные кривые'!$B$5:$L$5,1,1),IF(D4&gt;=MAX('Исходные кривые'!$B$4:$L$4),INDEX('Исходные кривые'!$B$5:$L$5,1,COLUMNS('Исходные кривые'!$B$5:$L$5)),INDEX('Исходные кривые'!$B$5:$L$5,1,MATCH(D4,'Исходные кривые'!$B$4:$L$4,1))+(D4-INDEX('Исходные кривые'!$B$4:$L$4,1,MATCH(D4,'Исходные кривые'!$B$4:$L$4,1)))*(INDEX('Исходные кривые'!$B$5:$L$5,1,MATCH(D4,'Исходные кривые'!$B$4:$L$4,1)+1)-INDEX('Исходные кривые'!$B$5:$L$5,1,MATCH(D4,'Исходные кривые'!$B$4:$L$4,1)))/(INDEX('Исходные кривые'!$B$4:$L$4,1,MATCH(D4,'Исходные кривые'!$B$4:$L$4,1)+1)-INDEX('Исходные кривые'!$B$4:$L$4,1,MATCH(D4,'Исходные кривые'!$B$4:$L$4,1)))))</x:f>
        <x:v>13.59</x:v>
      </x:c>
      <x:c r="F4" s="35" t="n">
        <x:f>IF(D4&lt;=MIN('Исходные кривые'!$B$8:$N$8),INDEX('Исходные кривые'!$B$9:$N$9,1,1),IF(D4&gt;=MAX('Исходные кривые'!$B$8:$N$8),INDEX('Исходные кривые'!$B$9:$N$9,1,COLUMNS('Исходные кривые'!$B$9:$N$9)),INDEX('Исходные кривые'!$B$9:$N$9,1,MATCH(D4,'Исходные кривые'!$B$8:$N$8,1))+(D4-INDEX('Исходные кривые'!$B$8:$N$8,1,MATCH(D4,'Исходные кривые'!$B$8:$N$8,1)))*(INDEX('Исходные кривые'!$B$9:$N$9,1,MATCH(D4,'Исходные кривые'!$B$8:$N$8,1)+1)-INDEX('Исходные кривые'!$B$9:$N$9,1,MATCH(D4,'Исходные кривые'!$B$8:$N$8,1)))/(INDEX('Исходные кривые'!$B$8:$N$8,1,MATCH(D4,'Исходные кривые'!$B$8:$N$8,1)+1)-INDEX('Исходные кривые'!$B$8:$N$8,1,MATCH(D4,'Исходные кривые'!$B$8:$N$8,1)))))</x:f>
        <x:v>15.59</x:v>
      </x:c>
      <x:c r="G4" s="35" t="n">
        <x:f>IF(D4&lt;=MIN('Исходные кривые'!$B$12:$K$12),INDEX('Исходные кривые'!$B$13:$K$13,1,1),IF(D4&gt;=MAX('Исходные кривые'!$B$12:$K$12),INDEX('Исходные кривые'!$B$13:$K$13,1,COLUMNS('Исходные кривые'!$B$13:$K$13)),INDEX('Исходные кривые'!$B$13:$K$13,1,MATCH(D4,'Исходные кривые'!$B$12:$K$12,1))+(D4-INDEX('Исходные кривые'!$B$12:$K$12,1,MATCH(D4,'Исходные кривые'!$B$12:$K$12,1)))*(INDEX('Исходные кривые'!$B$13:$K$13,1,MATCH(D4,'Исходные кривые'!$B$12:$K$12,1)+1)-INDEX('Исходные кривые'!$B$13:$K$13,1,MATCH(D4,'Исходные кривые'!$B$12:$K$12,1)))/(INDEX('Исходные кривые'!$B$12:$K$12,1,MATCH(D4,'Исходные кривые'!$B$12:$K$12,1)+1)-INDEX('Исходные кривые'!$B$12:$K$12,1,MATCH(D4,'Исходные кривые'!$B$12:$K$12,1)))))</x:f>
        <x:v>62</x:v>
      </x:c>
      <x:c r="H4" s="35" t="n">
        <x:f>IF(D4&lt;=MIN('Исходные кривые'!$B$12:$K$12),INDEX('Исходные кривые'!$B$14:$K$14,1,1),IF(D4&gt;=MAX('Исходные кривые'!$B$12:$K$12),INDEX('Исходные кривые'!$B$14:$K$14,1,COLUMNS('Исходные кривые'!$B$14:$K$14)),INDEX('Исходные кривые'!$B$14:$K$14,1,MATCH(D4,'Исходные кривые'!$B$12:$K$12,1))+(D4-INDEX('Исходные кривые'!$B$12:$K$12,1,MATCH(D4,'Исходные кривые'!$B$12:$K$12,1)))*(INDEX('Исходные кривые'!$B$14:$K$14,1,MATCH(D4,'Исходные кривые'!$B$12:$K$12,1)+1)-INDEX('Исходные кривые'!$B$14:$K$14,1,MATCH(D4,'Исходные кривые'!$B$12:$K$12,1)))/(INDEX('Исходные кривые'!$B$12:$K$12,1,MATCH(D4,'Исходные кривые'!$B$12:$K$12,1)+1)-INDEX('Исходные кривые'!$B$12:$K$12,1,MATCH(D4,'Исходные кривые'!$B$12:$K$12,1)))))</x:f>
        <x:v>-38</x:v>
      </x:c>
      <x:c r="I4" s="35" t="n">
        <x:f>IF(D4&lt;=MIN('Исходные кривые'!$B$17:$L$17),INDEX('Исходные кривые'!$B$18:$L$18,1,1),IF(D4&gt;=MAX('Исходные кривые'!$B$17:$L$17),INDEX('Исходные кривые'!$B$18:$L$18,1,COLUMNS('Исходные кривые'!$B$18:$L$18)),INDEX('Исходные кривые'!$B$18:$L$18,1,MATCH(D4,'Исходные кривые'!$B$17:$L$17,1))+(D4-INDEX('Исходные кривые'!$B$17:$L$17,1,MATCH(D4,'Исходные кривые'!$B$17:$L$17,1)))*(INDEX('Исходные кривые'!$B$18:$L$18,1,MATCH(D4,'Исходные кривые'!$B$17:$L$17,1)+1)-INDEX('Исходные кривые'!$B$18:$L$18,1,MATCH(D4,'Исходные кривые'!$B$17:$L$17,1)))/(INDEX('Исходные кривые'!$B$17:$L$17,1,MATCH(D4,'Исходные кривые'!$B$17:$L$17,1)+1)-INDEX('Исходные кривые'!$B$17:$L$17,1,MATCH(D4,'Исходные кривые'!$B$17:$L$17,1)))))</x:f>
        <x:v>5.75</x:v>
      </x:c>
      <x:c r="J4" s="35" t="n">
        <x:f>IF(D4&lt;=MIN('Исходные кривые'!$B$17:$L$17),INDEX('Исходные кривые'!$B$19:$L$19,1,1),IF(D4&gt;=MAX('Исходные кривые'!$B$17:$L$17),INDEX('Исходные кривые'!$B$19:$L$19,1,COLUMNS('Исходные кривые'!$B$19:$L$19)),INDEX('Исходные кривые'!$B$19:$L$19,1,MATCH(D4,'Исходные кривые'!$B$17:$L$17,1))+(D4-INDEX('Исходные кривые'!$B$17:$L$17,1,MATCH(D4,'Исходные кривые'!$B$17:$L$17,1)))*(INDEX('Исходные кривые'!$B$19:$L$19,1,MATCH(D4,'Исходные кривые'!$B$17:$L$17,1)+1)-INDEX('Исходные кривые'!$B$19:$L$19,1,MATCH(D4,'Исходные кривые'!$B$17:$L$17,1)))/(INDEX('Исходные кривые'!$B$17:$L$17,1,MATCH(D4,'Исходные кривые'!$B$17:$L$17,1)+1)-INDEX('Исходные кривые'!$B$17:$L$17,1,MATCH(D4,'Исходные кривые'!$B$17:$L$17,1)))))</x:f>
        <x:v>-2.55</x:v>
      </x:c>
    </x:row>
    <x:row r="5">
      <x:c r="A5" s="32" t="str">
        <x:v>Годовые даты</x:v>
      </x:c>
      <x:c r="B5" s="33" t="n">
        <x:v>46568</x:v>
      </x:c>
      <x:c r="C5" s="34" t="n">
        <x:f>B5-'Настройки'!$B$4</x:f>
        <x:v>365</x:v>
      </x:c>
      <x:c r="D5" s="35" t="n">
        <x:f>C5/'Настройки'!$B$5</x:f>
        <x:v>1</x:v>
      </x:c>
      <x:c r="E5" s="35" t="n">
        <x:f>IF(D5&lt;=MIN('Исходные кривые'!$B$4:$L$4),INDEX('Исходные кривые'!$B$5:$L$5,1,1),IF(D5&gt;=MAX('Исходные кривые'!$B$4:$L$4),INDEX('Исходные кривые'!$B$5:$L$5,1,COLUMNS('Исходные кривые'!$B$5:$L$5)),INDEX('Исходные кривые'!$B$5:$L$5,1,MATCH(D5,'Исходные кривые'!$B$4:$L$4,1))+(D5-INDEX('Исходные кривые'!$B$4:$L$4,1,MATCH(D5,'Исходные кривые'!$B$4:$L$4,1)))*(INDEX('Исходные кривые'!$B$5:$L$5,1,MATCH(D5,'Исходные кривые'!$B$4:$L$4,1)+1)-INDEX('Исходные кривые'!$B$5:$L$5,1,MATCH(D5,'Исходные кривые'!$B$4:$L$4,1)))/(INDEX('Исходные кривые'!$B$4:$L$4,1,MATCH(D5,'Исходные кривые'!$B$4:$L$4,1)+1)-INDEX('Исходные кривые'!$B$4:$L$4,1,MATCH(D5,'Исходные кривые'!$B$4:$L$4,1)))))</x:f>
        <x:v>13.41</x:v>
      </x:c>
      <x:c r="F5" s="35" t="n">
        <x:f>IF(D5&lt;=MIN('Исходные кривые'!$B$8:$N$8),INDEX('Исходные кривые'!$B$9:$N$9,1,1),IF(D5&gt;=MAX('Исходные кривые'!$B$8:$N$8),INDEX('Исходные кривые'!$B$9:$N$9,1,COLUMNS('Исходные кривые'!$B$9:$N$9)),INDEX('Исходные кривые'!$B$9:$N$9,1,MATCH(D5,'Исходные кривые'!$B$8:$N$8,1))+(D5-INDEX('Исходные кривые'!$B$8:$N$8,1,MATCH(D5,'Исходные кривые'!$B$8:$N$8,1)))*(INDEX('Исходные кривые'!$B$9:$N$9,1,MATCH(D5,'Исходные кривые'!$B$8:$N$8,1)+1)-INDEX('Исходные кривые'!$B$9:$N$9,1,MATCH(D5,'Исходные кривые'!$B$8:$N$8,1)))/(INDEX('Исходные кривые'!$B$8:$N$8,1,MATCH(D5,'Исходные кривые'!$B$8:$N$8,1)+1)-INDEX('Исходные кривые'!$B$8:$N$8,1,MATCH(D5,'Исходные кривые'!$B$8:$N$8,1)))))</x:f>
        <x:v>15.41</x:v>
      </x:c>
      <x:c r="G5" s="35" t="n">
        <x:f>IF(D5&lt;=MIN('Исходные кривые'!$B$12:$K$12),INDEX('Исходные кривые'!$B$13:$K$13,1,1),IF(D5&gt;=MAX('Исходные кривые'!$B$12:$K$12),INDEX('Исходные кривые'!$B$13:$K$13,1,COLUMNS('Исходные кривые'!$B$13:$K$13)),INDEX('Исходные кривые'!$B$13:$K$13,1,MATCH(D5,'Исходные кривые'!$B$12:$K$12,1))+(D5-INDEX('Исходные кривые'!$B$12:$K$12,1,MATCH(D5,'Исходные кривые'!$B$12:$K$12,1)))*(INDEX('Исходные кривые'!$B$13:$K$13,1,MATCH(D5,'Исходные кривые'!$B$12:$K$12,1)+1)-INDEX('Исходные кривые'!$B$13:$K$13,1,MATCH(D5,'Исходные кривые'!$B$12:$K$12,1)))/(INDEX('Исходные кривые'!$B$12:$K$12,1,MATCH(D5,'Исходные кривые'!$B$12:$K$12,1)+1)-INDEX('Исходные кривые'!$B$12:$K$12,1,MATCH(D5,'Исходные кривые'!$B$12:$K$12,1)))))</x:f>
        <x:v>58</x:v>
      </x:c>
      <x:c r="H5" s="35" t="n">
        <x:f>IF(D5&lt;=MIN('Исходные кривые'!$B$12:$K$12),INDEX('Исходные кривые'!$B$14:$K$14,1,1),IF(D5&gt;=MAX('Исходные кривые'!$B$12:$K$12),INDEX('Исходные кривые'!$B$14:$K$14,1,COLUMNS('Исходные кривые'!$B$14:$K$14)),INDEX('Исходные кривые'!$B$14:$K$14,1,MATCH(D5,'Исходные кривые'!$B$12:$K$12,1))+(D5-INDEX('Исходные кривые'!$B$12:$K$12,1,MATCH(D5,'Исходные кривые'!$B$12:$K$12,1)))*(INDEX('Исходные кривые'!$B$14:$K$14,1,MATCH(D5,'Исходные кривые'!$B$12:$K$12,1)+1)-INDEX('Исходные кривые'!$B$14:$K$14,1,MATCH(D5,'Исходные кривые'!$B$12:$K$12,1)))/(INDEX('Исходные кривые'!$B$12:$K$12,1,MATCH(D5,'Исходные кривые'!$B$12:$K$12,1)+1)-INDEX('Исходные кривые'!$B$12:$K$12,1,MATCH(D5,'Исходные кривые'!$B$12:$K$12,1)))))</x:f>
        <x:v>-31</x:v>
      </x:c>
      <x:c r="I5" s="35" t="n">
        <x:f>IF(D5&lt;=MIN('Исходные кривые'!$B$17:$L$17),INDEX('Исходные кривые'!$B$18:$L$18,1,1),IF(D5&gt;=MAX('Исходные кривые'!$B$17:$L$17),INDEX('Исходные кривые'!$B$18:$L$18,1,COLUMNS('Исходные кривые'!$B$18:$L$18)),INDEX('Исходные кривые'!$B$18:$L$18,1,MATCH(D5,'Исходные кривые'!$B$17:$L$17,1))+(D5-INDEX('Исходные кривые'!$B$17:$L$17,1,MATCH(D5,'Исходные кривые'!$B$17:$L$17,1)))*(INDEX('Исходные кривые'!$B$18:$L$18,1,MATCH(D5,'Исходные кривые'!$B$17:$L$17,1)+1)-INDEX('Исходные кривые'!$B$18:$L$18,1,MATCH(D5,'Исходные кривые'!$B$17:$L$17,1)))/(INDEX('Исходные кривые'!$B$17:$L$17,1,MATCH(D5,'Исходные кривые'!$B$17:$L$17,1)+1)-INDEX('Исходные кривые'!$B$17:$L$17,1,MATCH(D5,'Исходные кривые'!$B$17:$L$17,1)))))</x:f>
        <x:v>6</x:v>
      </x:c>
      <x:c r="J5" s="35" t="n">
        <x:f>IF(D5&lt;=MIN('Исходные кривые'!$B$17:$L$17),INDEX('Исходные кривые'!$B$19:$L$19,1,1),IF(D5&gt;=MAX('Исходные кривые'!$B$17:$L$17),INDEX('Исходные кривые'!$B$19:$L$19,1,COLUMNS('Исходные кривые'!$B$19:$L$19)),INDEX('Исходные кривые'!$B$19:$L$19,1,MATCH(D5,'Исходные кривые'!$B$17:$L$17,1))+(D5-INDEX('Исходные кривые'!$B$17:$L$17,1,MATCH(D5,'Исходные кривые'!$B$17:$L$17,1)))*(INDEX('Исходные кривые'!$B$19:$L$19,1,MATCH(D5,'Исходные кривые'!$B$17:$L$17,1)+1)-INDEX('Исходные кривые'!$B$19:$L$19,1,MATCH(D5,'Исходные кривые'!$B$17:$L$17,1)))/(INDEX('Исходные кривые'!$B$17:$L$17,1,MATCH(D5,'Исходные кривые'!$B$17:$L$17,1)+1)-INDEX('Исходные кривые'!$B$17:$L$17,1,MATCH(D5,'Исходные кривые'!$B$17:$L$17,1)))))</x:f>
        <x:v>-5</x:v>
      </x:c>
    </x:row>
    <x:row r="6">
      <x:c r="A6" s="32" t="str">
        <x:v>Годовые даты</x:v>
      </x:c>
      <x:c r="B6" s="33" t="n">
        <x:v>46934</x:v>
      </x:c>
      <x:c r="C6" s="34" t="n">
        <x:f>B6-'Настройки'!$B$4</x:f>
        <x:v>731</x:v>
      </x:c>
      <x:c r="D6" s="35" t="n">
        <x:f>C6/'Настройки'!$B$5</x:f>
        <x:v>2.0027397260273974</x:v>
      </x:c>
      <x:c r="E6" s="35" t="n">
        <x:f>IF(D6&lt;=MIN('Исходные кривые'!$B$4:$L$4),INDEX('Исходные кривые'!$B$5:$L$5,1,1),IF(D6&gt;=MAX('Исходные кривые'!$B$4:$L$4),INDEX('Исходные кривые'!$B$5:$L$5,1,COLUMNS('Исходные кривые'!$B$5:$L$5)),INDEX('Исходные кривые'!$B$5:$L$5,1,MATCH(D6,'Исходные кривые'!$B$4:$L$4,1))+(D6-INDEX('Исходные кривые'!$B$4:$L$4,1,MATCH(D6,'Исходные кривые'!$B$4:$L$4,1)))*(INDEX('Исходные кривые'!$B$5:$L$5,1,MATCH(D6,'Исходные кривые'!$B$4:$L$4,1)+1)-INDEX('Исходные кривые'!$B$5:$L$5,1,MATCH(D6,'Исходные кривые'!$B$4:$L$4,1)))/(INDEX('Исходные кривые'!$B$4:$L$4,1,MATCH(D6,'Исходные кривые'!$B$4:$L$4,1)+1)-INDEX('Исходные кривые'!$B$4:$L$4,1,MATCH(D6,'Исходные кривые'!$B$4:$L$4,1)))))</x:f>
        <x:v>13.871643835616437</x:v>
      </x:c>
      <x:c r="F6" s="35" t="n">
        <x:f>IF(D6&lt;=MIN('Исходные кривые'!$B$8:$N$8),INDEX('Исходные кривые'!$B$9:$N$9,1,1),IF(D6&gt;=MAX('Исходные кривые'!$B$8:$N$8),INDEX('Исходные кривые'!$B$9:$N$9,1,COLUMNS('Исходные кривые'!$B$9:$N$9)),INDEX('Исходные кривые'!$B$9:$N$9,1,MATCH(D6,'Исходные кривые'!$B$8:$N$8,1))+(D6-INDEX('Исходные кривые'!$B$8:$N$8,1,MATCH(D6,'Исходные кривые'!$B$8:$N$8,1)))*(INDEX('Исходные кривые'!$B$9:$N$9,1,MATCH(D6,'Исходные кривые'!$B$8:$N$8,1)+1)-INDEX('Исходные кривые'!$B$9:$N$9,1,MATCH(D6,'Исходные кривые'!$B$8:$N$8,1)))/(INDEX('Исходные кривые'!$B$8:$N$8,1,MATCH(D6,'Исходные кривые'!$B$8:$N$8,1)+1)-INDEX('Исходные кривые'!$B$8:$N$8,1,MATCH(D6,'Исходные кривые'!$B$8:$N$8,1)))))</x:f>
        <x:v>15.871643835616437</x:v>
      </x:c>
      <x:c r="G6" s="35" t="n">
        <x:f>IF(D6&lt;=MIN('Исходные кривые'!$B$12:$K$12),INDEX('Исходные кривые'!$B$13:$K$13,1,1),IF(D6&gt;=MAX('Исходные кривые'!$B$12:$K$12),INDEX('Исходные кривые'!$B$13:$K$13,1,COLUMNS('Исходные кривые'!$B$13:$K$13)),INDEX('Исходные кривые'!$B$13:$K$13,1,MATCH(D6,'Исходные кривые'!$B$12:$K$12,1))+(D6-INDEX('Исходные кривые'!$B$12:$K$12,1,MATCH(D6,'Исходные кривые'!$B$12:$K$12,1)))*(INDEX('Исходные кривые'!$B$13:$K$13,1,MATCH(D6,'Исходные кривые'!$B$12:$K$12,1)+1)-INDEX('Исходные кривые'!$B$13:$K$13,1,MATCH(D6,'Исходные кривые'!$B$12:$K$12,1)))/(INDEX('Исходные кривые'!$B$12:$K$12,1,MATCH(D6,'Исходные кривые'!$B$12:$K$12,1)+1)-INDEX('Исходные кривые'!$B$12:$K$12,1,MATCH(D6,'Исходные кривые'!$B$12:$K$12,1)))))</x:f>
        <x:v>54.9972602739726</x:v>
      </x:c>
      <x:c r="H6" s="35" t="n">
        <x:f>IF(D6&lt;=MIN('Исходные кривые'!$B$12:$K$12),INDEX('Исходные кривые'!$B$14:$K$14,1,1),IF(D6&gt;=MAX('Исходные кривые'!$B$12:$K$12),INDEX('Исходные кривые'!$B$14:$K$14,1,COLUMNS('Исходные кривые'!$B$14:$K$14)),INDEX('Исходные кривые'!$B$14:$K$14,1,MATCH(D6,'Исходные кривые'!$B$12:$K$12,1))+(D6-INDEX('Исходные кривые'!$B$12:$K$12,1,MATCH(D6,'Исходные кривые'!$B$12:$K$12,1)))*(INDEX('Исходные кривые'!$B$14:$K$14,1,MATCH(D6,'Исходные кривые'!$B$12:$K$12,1)+1)-INDEX('Исходные кривые'!$B$14:$K$14,1,MATCH(D6,'Исходные кривые'!$B$12:$K$12,1)))/(INDEX('Исходные кривые'!$B$12:$K$12,1,MATCH(D6,'Исходные кривые'!$B$12:$K$12,1)+1)-INDEX('Исходные кривые'!$B$12:$K$12,1,MATCH(D6,'Исходные кривые'!$B$12:$K$12,1)))))</x:f>
        <x:v>-28.997260273972604</x:v>
      </x:c>
      <x:c r="I6" s="35" t="n">
        <x:f>IF(D6&lt;=MIN('Исходные кривые'!$B$17:$L$17),INDEX('Исходные кривые'!$B$18:$L$18,1,1),IF(D6&gt;=MAX('Исходные кривые'!$B$17:$L$17),INDEX('Исходные кривые'!$B$18:$L$18,1,COLUMNS('Исходные кривые'!$B$18:$L$18)),INDEX('Исходные кривые'!$B$18:$L$18,1,MATCH(D6,'Исходные кривые'!$B$17:$L$17,1))+(D6-INDEX('Исходные кривые'!$B$17:$L$17,1,MATCH(D6,'Исходные кривые'!$B$17:$L$17,1)))*(INDEX('Исходные кривые'!$B$18:$L$18,1,MATCH(D6,'Исходные кривые'!$B$17:$L$17,1)+1)-INDEX('Исходные кривые'!$B$18:$L$18,1,MATCH(D6,'Исходные кривые'!$B$17:$L$17,1)))/(INDEX('Исходные кривые'!$B$17:$L$17,1,MATCH(D6,'Исходные кривые'!$B$17:$L$17,1)+1)-INDEX('Исходные кривые'!$B$17:$L$17,1,MATCH(D6,'Исходные кривые'!$B$17:$L$17,1)))))</x:f>
        <x:v>7.247671232876712</x:v>
      </x:c>
      <x:c r="J6" s="35" t="n">
        <x:f>IF(D6&lt;=MIN('Исходные кривые'!$B$17:$L$17),INDEX('Исходные кривые'!$B$19:$L$19,1,1),IF(D6&gt;=MAX('Исходные кривые'!$B$17:$L$17),INDEX('Исходные кривые'!$B$19:$L$19,1,COLUMNS('Исходные кривые'!$B$19:$L$19)),INDEX('Исходные кривые'!$B$19:$L$19,1,MATCH(D6,'Исходные кривые'!$B$17:$L$17,1))+(D6-INDEX('Исходные кривые'!$B$17:$L$17,1,MATCH(D6,'Исходные кривые'!$B$17:$L$17,1)))*(INDEX('Исходные кривые'!$B$19:$L$19,1,MATCH(D6,'Исходные кривые'!$B$17:$L$17,1)+1)-INDEX('Исходные кривые'!$B$19:$L$19,1,MATCH(D6,'Исходные кривые'!$B$17:$L$17,1)))/(INDEX('Исходные кривые'!$B$17:$L$17,1,MATCH(D6,'Исходные кривые'!$B$17:$L$17,1)+1)-INDEX('Исходные кривые'!$B$17:$L$17,1,MATCH(D6,'Исходные кривые'!$B$17:$L$17,1)))))</x:f>
        <x:v>-4.697123287671233</x:v>
      </x:c>
    </x:row>
    <x:row r="7">
      <x:c r="A7" s="32" t="str">
        <x:v>Годовые даты</x:v>
      </x:c>
      <x:c r="B7" s="33" t="n">
        <x:v>47299</x:v>
      </x:c>
      <x:c r="C7" s="34" t="n">
        <x:f>B7-'Настройки'!$B$4</x:f>
        <x:v>1096</x:v>
      </x:c>
      <x:c r="D7" s="35" t="n">
        <x:f>C7/'Настройки'!$B$5</x:f>
        <x:v>3.0027397260273974</x:v>
      </x:c>
      <x:c r="E7" s="35" t="n">
        <x:f>IF(D7&lt;=MIN('Исходные кривые'!$B$4:$L$4),INDEX('Исходные кривые'!$B$5:$L$5,1,1),IF(D7&gt;=MAX('Исходные кривые'!$B$4:$L$4),INDEX('Исходные кривые'!$B$5:$L$5,1,COLUMNS('Исходные кривые'!$B$5:$L$5)),INDEX('Исходные кривые'!$B$5:$L$5,1,MATCH(D7,'Исходные кривые'!$B$4:$L$4,1))+(D7-INDEX('Исходные кривые'!$B$4:$L$4,1,MATCH(D7,'Исходные кривые'!$B$4:$L$4,1)))*(INDEX('Исходные кривые'!$B$5:$L$5,1,MATCH(D7,'Исходные кривые'!$B$4:$L$4,1)+1)-INDEX('Исходные кривые'!$B$5:$L$5,1,MATCH(D7,'Исходные кривые'!$B$4:$L$4,1)))/(INDEX('Исходные кривые'!$B$4:$L$4,1,MATCH(D7,'Исходные кривые'!$B$4:$L$4,1)+1)-INDEX('Исходные кривые'!$B$4:$L$4,1,MATCH(D7,'Исходные кривые'!$B$4:$L$4,1)))))</x:f>
        <x:v>14.471301369863014</x:v>
      </x:c>
      <x:c r="F7" s="35" t="n">
        <x:f>IF(D7&lt;=MIN('Исходные кривые'!$B$8:$N$8),INDEX('Исходные кривые'!$B$9:$N$9,1,1),IF(D7&gt;=MAX('Исходные кривые'!$B$8:$N$8),INDEX('Исходные кривые'!$B$9:$N$9,1,COLUMNS('Исходные кривые'!$B$9:$N$9)),INDEX('Исходные кривые'!$B$9:$N$9,1,MATCH(D7,'Исходные кривые'!$B$8:$N$8,1))+(D7-INDEX('Исходные кривые'!$B$8:$N$8,1,MATCH(D7,'Исходные кривые'!$B$8:$N$8,1)))*(INDEX('Исходные кривые'!$B$9:$N$9,1,MATCH(D7,'Исходные кривые'!$B$8:$N$8,1)+1)-INDEX('Исходные кривые'!$B$9:$N$9,1,MATCH(D7,'Исходные кривые'!$B$8:$N$8,1)))/(INDEX('Исходные кривые'!$B$8:$N$8,1,MATCH(D7,'Исходные кривые'!$B$8:$N$8,1)+1)-INDEX('Исходные кривые'!$B$8:$N$8,1,MATCH(D7,'Исходные кривые'!$B$8:$N$8,1)))))</x:f>
        <x:v>16.471301369863014</x:v>
      </x:c>
      <x:c r="G7" s="35" t="n">
        <x:f>IF(D7&lt;=MIN('Исходные кривые'!$B$12:$K$12),INDEX('Исходные кривые'!$B$13:$K$13,1,1),IF(D7&gt;=MAX('Исходные кривые'!$B$12:$K$12),INDEX('Исходные кривые'!$B$13:$K$13,1,COLUMNS('Исходные кривые'!$B$13:$K$13)),INDEX('Исходные кривые'!$B$13:$K$13,1,MATCH(D7,'Исходные кривые'!$B$12:$K$12,1))+(D7-INDEX('Исходные кривые'!$B$12:$K$12,1,MATCH(D7,'Исходные кривые'!$B$12:$K$12,1)))*(INDEX('Исходные кривые'!$B$13:$K$13,1,MATCH(D7,'Исходные кривые'!$B$12:$K$12,1)+1)-INDEX('Исходные кривые'!$B$13:$K$13,1,MATCH(D7,'Исходные кривые'!$B$12:$K$12,1)))/(INDEX('Исходные кривые'!$B$12:$K$12,1,MATCH(D7,'Исходные кривые'!$B$12:$K$12,1)+1)-INDEX('Исходные кривые'!$B$12:$K$12,1,MATCH(D7,'Исходные кривые'!$B$12:$K$12,1)))))</x:f>
        <x:v>53.99178082191781</x:v>
      </x:c>
      <x:c r="H7" s="35" t="n">
        <x:f>IF(D7&lt;=MIN('Исходные кривые'!$B$12:$K$12),INDEX('Исходные кривые'!$B$14:$K$14,1,1),IF(D7&gt;=MAX('Исходные кривые'!$B$12:$K$12),INDEX('Исходные кривые'!$B$14:$K$14,1,COLUMNS('Исходные кривые'!$B$14:$K$14)),INDEX('Исходные кривые'!$B$14:$K$14,1,MATCH(D7,'Исходные кривые'!$B$12:$K$12,1))+(D7-INDEX('Исходные кривые'!$B$12:$K$12,1,MATCH(D7,'Исходные кривые'!$B$12:$K$12,1)))*(INDEX('Исходные кривые'!$B$14:$K$14,1,MATCH(D7,'Исходные кривые'!$B$12:$K$12,1)+1)-INDEX('Исходные кривые'!$B$14:$K$14,1,MATCH(D7,'Исходные кривые'!$B$12:$K$12,1)))/(INDEX('Исходные кривые'!$B$12:$K$12,1,MATCH(D7,'Исходные кривые'!$B$12:$K$12,1)+1)-INDEX('Исходные кривые'!$B$12:$K$12,1,MATCH(D7,'Исходные кривые'!$B$12:$K$12,1)))))</x:f>
        <x:v>-27.9986301369863</x:v>
      </x:c>
      <x:c r="I7" s="35" t="n">
        <x:f>IF(D7&lt;=MIN('Исходные кривые'!$B$17:$L$17),INDEX('Исходные кривые'!$B$18:$L$18,1,1),IF(D7&gt;=MAX('Исходные кривые'!$B$17:$L$17),INDEX('Исходные кривые'!$B$18:$L$18,1,COLUMNS('Исходные кривые'!$B$18:$L$18)),INDEX('Исходные кривые'!$B$18:$L$18,1,MATCH(D7,'Исходные кривые'!$B$17:$L$17,1))+(D7-INDEX('Исходные кривые'!$B$17:$L$17,1,MATCH(D7,'Исходные кривые'!$B$17:$L$17,1)))*(INDEX('Исходные кривые'!$B$18:$L$18,1,MATCH(D7,'Исходные кривые'!$B$17:$L$17,1)+1)-INDEX('Исходные кривые'!$B$18:$L$18,1,MATCH(D7,'Исходные кривые'!$B$17:$L$17,1)))/(INDEX('Исходные кривые'!$B$17:$L$17,1,MATCH(D7,'Исходные кривые'!$B$17:$L$17,1)+1)-INDEX('Исходные кривые'!$B$17:$L$17,1,MATCH(D7,'Исходные кривые'!$B$17:$L$17,1)))))</x:f>
        <x:v>6.399315068493151</x:v>
      </x:c>
      <x:c r="J7" s="35" t="n">
        <x:f>IF(D7&lt;=MIN('Исходные кривые'!$B$17:$L$17),INDEX('Исходные кривые'!$B$19:$L$19,1,1),IF(D7&gt;=MAX('Исходные кривые'!$B$17:$L$17),INDEX('Исходные кривые'!$B$19:$L$19,1,COLUMNS('Исходные кривые'!$B$19:$L$19)),INDEX('Исходные кривые'!$B$19:$L$19,1,MATCH(D7,'Исходные кривые'!$B$17:$L$17,1))+(D7-INDEX('Исходные кривые'!$B$17:$L$17,1,MATCH(D7,'Исходные кривые'!$B$17:$L$17,1)))*(INDEX('Исходные кривые'!$B$19:$L$19,1,MATCH(D7,'Исходные кривые'!$B$17:$L$17,1)+1)-INDEX('Исходные кривые'!$B$19:$L$19,1,MATCH(D7,'Исходные кривые'!$B$17:$L$17,1)))/(INDEX('Исходные кривые'!$B$17:$L$17,1,MATCH(D7,'Исходные кривые'!$B$17:$L$17,1)+1)-INDEX('Исходные кривые'!$B$17:$L$17,1,MATCH(D7,'Исходные кривые'!$B$17:$L$17,1)))))</x:f>
        <x:v>-3.647808219178082</x:v>
      </x:c>
    </x:row>
    <x:row r="8">
      <x:c r="A8" s="32" t="str">
        <x:v>Годовые даты</x:v>
      </x:c>
      <x:c r="B8" s="33" t="n">
        <x:v>47664</x:v>
      </x:c>
      <x:c r="C8" s="34" t="n">
        <x:f>B8-'Настройки'!$B$4</x:f>
        <x:v>1461</x:v>
      </x:c>
      <x:c r="D8" s="35" t="n">
        <x:f>C8/'Настройки'!$B$5</x:f>
        <x:v>4.002739726027397</x:v>
      </x:c>
      <x:c r="E8" s="35" t="n">
        <x:f>IF(D8&lt;=MIN('Исходные кривые'!$B$4:$L$4),INDEX('Исходные кривые'!$B$5:$L$5,1,1),IF(D8&gt;=MAX('Исходные кривые'!$B$4:$L$4),INDEX('Исходные кривые'!$B$5:$L$5,1,COLUMNS('Исходные кривые'!$B$5:$L$5)),INDEX('Исходные кривые'!$B$5:$L$5,1,MATCH(D8,'Исходные кривые'!$B$4:$L$4,1))+(D8-INDEX('Исходные кривые'!$B$4:$L$4,1,MATCH(D8,'Исходные кривые'!$B$4:$L$4,1)))*(INDEX('Исходные кривые'!$B$5:$L$5,1,MATCH(D8,'Исходные кривые'!$B$4:$L$4,1)+1)-INDEX('Исходные кривые'!$B$5:$L$5,1,MATCH(D8,'Исходные кривые'!$B$4:$L$4,1)))/(INDEX('Исходные кривые'!$B$4:$L$4,1,MATCH(D8,'Исходные кривые'!$B$4:$L$4,1)+1)-INDEX('Исходные кривые'!$B$4:$L$4,1,MATCH(D8,'Исходные кривые'!$B$4:$L$4,1)))))</x:f>
        <x:v>14.946301369863015</x:v>
      </x:c>
      <x:c r="F8" s="35" t="n">
        <x:f>IF(D8&lt;=MIN('Исходные кривые'!$B$8:$N$8),INDEX('Исходные кривые'!$B$9:$N$9,1,1),IF(D8&gt;=MAX('Исходные кривые'!$B$8:$N$8),INDEX('Исходные кривые'!$B$9:$N$9,1,COLUMNS('Исходные кривые'!$B$9:$N$9)),INDEX('Исходные кривые'!$B$9:$N$9,1,MATCH(D8,'Исходные кривые'!$B$8:$N$8,1))+(D8-INDEX('Исходные кривые'!$B$8:$N$8,1,MATCH(D8,'Исходные кривые'!$B$8:$N$8,1)))*(INDEX('Исходные кривые'!$B$9:$N$9,1,MATCH(D8,'Исходные кривые'!$B$8:$N$8,1)+1)-INDEX('Исходные кривые'!$B$9:$N$9,1,MATCH(D8,'Исходные кривые'!$B$8:$N$8,1)))/(INDEX('Исходные кривые'!$B$8:$N$8,1,MATCH(D8,'Исходные кривые'!$B$8:$N$8,1)+1)-INDEX('Исходные кривые'!$B$8:$N$8,1,MATCH(D8,'Исходные кривые'!$B$8:$N$8,1)))))</x:f>
        <x:v>16.946301369863015</x:v>
      </x:c>
      <x:c r="G8" s="35" t="n">
        <x:f>IF(D8&lt;=MIN('Исходные кривые'!$B$12:$K$12),INDEX('Исходные кривые'!$B$13:$K$13,1,1),IF(D8&gt;=MAX('Исходные кривые'!$B$12:$K$12),INDEX('Исходные кривые'!$B$13:$K$13,1,COLUMNS('Исходные кривые'!$B$13:$K$13)),INDEX('Исходные кривые'!$B$13:$K$13,1,MATCH(D8,'Исходные кривые'!$B$12:$K$12,1))+(D8-INDEX('Исходные кривые'!$B$12:$K$12,1,MATCH(D8,'Исходные кривые'!$B$12:$K$12,1)))*(INDEX('Исходные кривые'!$B$13:$K$13,1,MATCH(D8,'Исходные кривые'!$B$12:$K$12,1)+1)-INDEX('Исходные кривые'!$B$13:$K$13,1,MATCH(D8,'Исходные кривые'!$B$12:$K$12,1)))/(INDEX('Исходные кривые'!$B$12:$K$12,1,MATCH(D8,'Исходные кривые'!$B$12:$K$12,1)+1)-INDEX('Исходные кривые'!$B$12:$K$12,1,MATCH(D8,'Исходные кривые'!$B$12:$K$12,1)))))</x:f>
        <x:v>50.99178082191781</x:v>
      </x:c>
      <x:c r="H8" s="35" t="n">
        <x:f>IF(D8&lt;=MIN('Исходные кривые'!$B$12:$K$12),INDEX('Исходные кривые'!$B$14:$K$14,1,1),IF(D8&gt;=MAX('Исходные кривые'!$B$12:$K$12),INDEX('Исходные кривые'!$B$14:$K$14,1,COLUMNS('Исходные кривые'!$B$14:$K$14)),INDEX('Исходные кривые'!$B$14:$K$14,1,MATCH(D8,'Исходные кривые'!$B$12:$K$12,1))+(D8-INDEX('Исходные кривые'!$B$12:$K$12,1,MATCH(D8,'Исходные кривые'!$B$12:$K$12,1)))*(INDEX('Исходные кривые'!$B$14:$K$14,1,MATCH(D8,'Исходные кривые'!$B$12:$K$12,1)+1)-INDEX('Исходные кривые'!$B$14:$K$14,1,MATCH(D8,'Исходные кривые'!$B$12:$K$12,1)))/(INDEX('Исходные кривые'!$B$12:$K$12,1,MATCH(D8,'Исходные кривые'!$B$12:$K$12,1)+1)-INDEX('Исходные кривые'!$B$12:$K$12,1,MATCH(D8,'Исходные кривые'!$B$12:$K$12,1)))))</x:f>
        <x:v>-27.4986301369863</x:v>
      </x:c>
      <x:c r="I8" s="35" t="n">
        <x:f>IF(D8&lt;=MIN('Исходные кривые'!$B$17:$L$17),INDEX('Исходные кривые'!$B$18:$L$18,1,1),IF(D8&gt;=MAX('Исходные кривые'!$B$17:$L$17),INDEX('Исходные кривые'!$B$18:$L$18,1,COLUMNS('Исходные кривые'!$B$18:$L$18)),INDEX('Исходные кривые'!$B$18:$L$18,1,MATCH(D8,'Исходные кривые'!$B$17:$L$17,1))+(D8-INDEX('Исходные кривые'!$B$17:$L$17,1,MATCH(D8,'Исходные кривые'!$B$17:$L$17,1)))*(INDEX('Исходные кривые'!$B$18:$L$18,1,MATCH(D8,'Исходные кривые'!$B$17:$L$17,1)+1)-INDEX('Исходные кривые'!$B$18:$L$18,1,MATCH(D8,'Исходные кривые'!$B$17:$L$17,1)))/(INDEX('Исходные кривые'!$B$17:$L$17,1,MATCH(D8,'Исходные кривые'!$B$17:$L$17,1)+1)-INDEX('Исходные кривые'!$B$17:$L$17,1,MATCH(D8,'Исходные кривые'!$B$17:$L$17,1)))))</x:f>
        <x:v>6.147945205479452</x:v>
      </x:c>
      <x:c r="J8" s="35" t="n">
        <x:f>IF(D8&lt;=MIN('Исходные кривые'!$B$17:$L$17),INDEX('Исходные кривые'!$B$19:$L$19,1,1),IF(D8&gt;=MAX('Исходные кривые'!$B$17:$L$17),INDEX('Исходные кривые'!$B$19:$L$19,1,COLUMNS('Исходные кривые'!$B$19:$L$19)),INDEX('Исходные кривые'!$B$19:$L$19,1,MATCH(D8,'Исходные кривые'!$B$17:$L$17,1))+(D8-INDEX('Исходные кривые'!$B$17:$L$17,1,MATCH(D8,'Исходные кривые'!$B$17:$L$17,1)))*(INDEX('Исходные кривые'!$B$19:$L$19,1,MATCH(D8,'Исходные кривые'!$B$17:$L$17,1)+1)-INDEX('Исходные кривые'!$B$19:$L$19,1,MATCH(D8,'Исходные кривые'!$B$17:$L$17,1)))/(INDEX('Исходные кривые'!$B$17:$L$17,1,MATCH(D8,'Исходные кривые'!$B$17:$L$17,1)+1)-INDEX('Исходные кривые'!$B$17:$L$17,1,MATCH(D8,'Исходные кривые'!$B$17:$L$17,1)))))</x:f>
        <x:v>-2.8473972602739726</x:v>
      </x:c>
    </x:row>
    <x:row r="9">
      <x:c r="A9" s="32" t="str">
        <x:v>Годовые даты</x:v>
      </x:c>
      <x:c r="B9" s="33" t="n">
        <x:v>48029</x:v>
      </x:c>
      <x:c r="C9" s="34" t="n">
        <x:f>B9-'Настройки'!$B$4</x:f>
        <x:v>1826</x:v>
      </x:c>
      <x:c r="D9" s="35" t="n">
        <x:f>C9/'Настройки'!$B$5</x:f>
        <x:v>5.002739726027397</x:v>
      </x:c>
      <x:c r="E9" s="35" t="n">
        <x:f>IF(D9&lt;=MIN('Исходные кривые'!$B$4:$L$4),INDEX('Исходные кривые'!$B$5:$L$5,1,1),IF(D9&gt;=MAX('Исходные кривые'!$B$4:$L$4),INDEX('Исходные кривые'!$B$5:$L$5,1,COLUMNS('Исходные кривые'!$B$5:$L$5)),INDEX('Исходные кривые'!$B$5:$L$5,1,MATCH(D9,'Исходные кривые'!$B$4:$L$4,1))+(D9-INDEX('Исходные кривые'!$B$4:$L$4,1,MATCH(D9,'Исходные кривые'!$B$4:$L$4,1)))*(INDEX('Исходные кривые'!$B$5:$L$5,1,MATCH(D9,'Исходные кривые'!$B$4:$L$4,1)+1)-INDEX('Исходные кривые'!$B$5:$L$5,1,MATCH(D9,'Исходные кривые'!$B$4:$L$4,1)))/(INDEX('Исходные кривые'!$B$4:$L$4,1,MATCH(D9,'Исходные кривые'!$B$4:$L$4,1)+1)-INDEX('Исходные кривые'!$B$4:$L$4,1,MATCH(D9,'Исходные кривые'!$B$4:$L$4,1)))))</x:f>
        <x:v>15.420767123287671</x:v>
      </x:c>
      <x:c r="F9" s="35" t="n">
        <x:f>IF(D9&lt;=MIN('Исходные кривые'!$B$8:$N$8),INDEX('Исходные кривые'!$B$9:$N$9,1,1),IF(D9&gt;=MAX('Исходные кривые'!$B$8:$N$8),INDEX('Исходные кривые'!$B$9:$N$9,1,COLUMNS('Исходные кривые'!$B$9:$N$9)),INDEX('Исходные кривые'!$B$9:$N$9,1,MATCH(D9,'Исходные кривые'!$B$8:$N$8,1))+(D9-INDEX('Исходные кривые'!$B$8:$N$8,1,MATCH(D9,'Исходные кривые'!$B$8:$N$8,1)))*(INDEX('Исходные кривые'!$B$9:$N$9,1,MATCH(D9,'Исходные кривые'!$B$8:$N$8,1)+1)-INDEX('Исходные кривые'!$B$9:$N$9,1,MATCH(D9,'Исходные кривые'!$B$8:$N$8,1)))/(INDEX('Исходные кривые'!$B$8:$N$8,1,MATCH(D9,'Исходные кривые'!$B$8:$N$8,1)+1)-INDEX('Исходные кривые'!$B$8:$N$8,1,MATCH(D9,'Исходные кривые'!$B$8:$N$8,1)))))</x:f>
        <x:v>17.42076712328767</x:v>
      </x:c>
      <x:c r="G9" s="35" t="n">
        <x:f>IF(D9&lt;=MIN('Исходные кривые'!$B$12:$K$12),INDEX('Исходные кривые'!$B$13:$K$13,1,1),IF(D9&gt;=MAX('Исходные кривые'!$B$12:$K$12),INDEX('Исходные кривые'!$B$13:$K$13,1,COLUMNS('Исходные кривые'!$B$13:$K$13)),INDEX('Исходные кривые'!$B$13:$K$13,1,MATCH(D9,'Исходные кривые'!$B$12:$K$12,1))+(D9-INDEX('Исходные кривые'!$B$12:$K$12,1,MATCH(D9,'Исходные кривые'!$B$12:$K$12,1)))*(INDEX('Исходные кривые'!$B$13:$K$13,1,MATCH(D9,'Исходные кривые'!$B$12:$K$12,1)+1)-INDEX('Исходные кривые'!$B$13:$K$13,1,MATCH(D9,'Исходные кривые'!$B$12:$K$12,1)))/(INDEX('Исходные кривые'!$B$12:$K$12,1,MATCH(D9,'Исходные кривые'!$B$12:$K$12,1)+1)-INDEX('Исходные кривые'!$B$12:$K$12,1,MATCH(D9,'Исходные кривые'!$B$12:$K$12,1)))))</x:f>
        <x:v>47.99178082191781</x:v>
      </x:c>
      <x:c r="H9" s="35" t="n">
        <x:f>IF(D9&lt;=MIN('Исходные кривые'!$B$12:$K$12),INDEX('Исходные кривые'!$B$14:$K$14,1,1),IF(D9&gt;=MAX('Исходные кривые'!$B$12:$K$12),INDEX('Исходные кривые'!$B$14:$K$14,1,COLUMNS('Исходные кривые'!$B$14:$K$14)),INDEX('Исходные кривые'!$B$14:$K$14,1,MATCH(D9,'Исходные кривые'!$B$12:$K$12,1))+(D9-INDEX('Исходные кривые'!$B$12:$K$12,1,MATCH(D9,'Исходные кривые'!$B$12:$K$12,1)))*(INDEX('Исходные кривые'!$B$14:$K$14,1,MATCH(D9,'Исходные кривые'!$B$12:$K$12,1)+1)-INDEX('Исходные кривые'!$B$14:$K$14,1,MATCH(D9,'Исходные кривые'!$B$12:$K$12,1)))/(INDEX('Исходные кривые'!$B$12:$K$12,1,MATCH(D9,'Исходные кривые'!$B$12:$K$12,1)+1)-INDEX('Исходные кривые'!$B$12:$K$12,1,MATCH(D9,'Исходные кривые'!$B$12:$K$12,1)))))</x:f>
        <x:v>-26.9986301369863</x:v>
      </x:c>
      <x:c r="I9" s="35" t="n">
        <x:f>IF(D9&lt;=MIN('Исходные кривые'!$B$17:$L$17),INDEX('Исходные кривые'!$B$18:$L$18,1,1),IF(D9&gt;=MAX('Исходные кривые'!$B$17:$L$17),INDEX('Исходные кривые'!$B$18:$L$18,1,COLUMNS('Исходные кривые'!$B$18:$L$18)),INDEX('Исходные кривые'!$B$18:$L$18,1,MATCH(D9,'Исходные кривые'!$B$17:$L$17,1))+(D9-INDEX('Исходные кривые'!$B$17:$L$17,1,MATCH(D9,'Исходные кривые'!$B$17:$L$17,1)))*(INDEX('Исходные кривые'!$B$18:$L$18,1,MATCH(D9,'Исходные кривые'!$B$17:$L$17,1)+1)-INDEX('Исходные кривые'!$B$18:$L$18,1,MATCH(D9,'Исходные кривые'!$B$17:$L$17,1)))/(INDEX('Исходные кривые'!$B$17:$L$17,1,MATCH(D9,'Исходные кривые'!$B$17:$L$17,1)+1)-INDEX('Исходные кривые'!$B$17:$L$17,1,MATCH(D9,'Исходные кривые'!$B$17:$L$17,1)))))</x:f>
        <x:v>5.4</x:v>
      </x:c>
      <x:c r="J9" s="35" t="n">
        <x:f>IF(D9&lt;=MIN('Исходные кривые'!$B$17:$L$17),INDEX('Исходные кривые'!$B$19:$L$19,1,1),IF(D9&gt;=MAX('Исходные кривые'!$B$17:$L$17),INDEX('Исходные кривые'!$B$19:$L$19,1,COLUMNS('Исходные кривые'!$B$19:$L$19)),INDEX('Исходные кривые'!$B$19:$L$19,1,MATCH(D9,'Исходные кривые'!$B$17:$L$17,1))+(D9-INDEX('Исходные кривые'!$B$17:$L$17,1,MATCH(D9,'Исходные кривые'!$B$17:$L$17,1)))*(INDEX('Исходные кривые'!$B$19:$L$19,1,MATCH(D9,'Исходные кривые'!$B$17:$L$17,1)+1)-INDEX('Исходные кривые'!$B$19:$L$19,1,MATCH(D9,'Исходные кривые'!$B$17:$L$17,1)))/(INDEX('Исходные кривые'!$B$17:$L$17,1,MATCH(D9,'Исходные кривые'!$B$17:$L$17,1)+1)-INDEX('Исходные кривые'!$B$17:$L$17,1,MATCH(D9,'Исходные кривые'!$B$17:$L$17,1)))))</x:f>
        <x:v>-1.9</x:v>
      </x:c>
    </x:row>
    <x:row r="10">
      <x:c r="A10" s="36" t="str">
        <x:v>Купонные даты</x:v>
      </x:c>
      <x:c r="B10" s="37" t="n">
        <x:v>46414</x:v>
      </x:c>
      <x:c r="C10" s="38" t="n">
        <x:f>B10-'Настройки'!$B$4</x:f>
        <x:v>211</x:v>
      </x:c>
      <x:c r="D10" s="39" t="n">
        <x:f>C10/'Настройки'!$B$5</x:f>
        <x:v>0.5780821917808219</x:v>
      </x:c>
      <x:c r="E10" s="39" t="n">
        <x:f>IF(D10&lt;=MIN('Исходные кривые'!$B$4:$L$4),INDEX('Исходные кривые'!$B$5:$L$5,1,1),IF(D10&gt;=MAX('Исходные кривые'!$B$4:$L$4),INDEX('Исходные кривые'!$B$5:$L$5,1,COLUMNS('Исходные кривые'!$B$5:$L$5)),INDEX('Исходные кривые'!$B$5:$L$5,1,MATCH(D10,'Исходные кривые'!$B$4:$L$4,1))+(D10-INDEX('Исходные кривые'!$B$4:$L$4,1,MATCH(D10,'Исходные кривые'!$B$4:$L$4,1)))*(INDEX('Исходные кривые'!$B$5:$L$5,1,MATCH(D10,'Исходные кривые'!$B$4:$L$4,1)+1)-INDEX('Исходные кривые'!$B$5:$L$5,1,MATCH(D10,'Исходные кривые'!$B$4:$L$4,1)))/(INDEX('Исходные кривые'!$B$4:$L$4,1,MATCH(D10,'Исходные кривые'!$B$4:$L$4,1)+1)-INDEX('Исходные кривые'!$B$4:$L$4,1,MATCH(D10,'Исходные кривые'!$B$4:$L$4,1)))))</x:f>
        <x:v>13.424383561643836</x:v>
      </x:c>
      <x:c r="F10" s="39" t="n">
        <x:f>IF(D10&lt;=MIN('Исходные кривые'!$B$8:$N$8),INDEX('Исходные кривые'!$B$9:$N$9,1,1),IF(D10&gt;=MAX('Исходные кривые'!$B$8:$N$8),INDEX('Исходные кривые'!$B$9:$N$9,1,COLUMNS('Исходные кривые'!$B$9:$N$9)),INDEX('Исходные кривые'!$B$9:$N$9,1,MATCH(D10,'Исходные кривые'!$B$8:$N$8,1))+(D10-INDEX('Исходные кривые'!$B$8:$N$8,1,MATCH(D10,'Исходные кривые'!$B$8:$N$8,1)))*(INDEX('Исходные кривые'!$B$9:$N$9,1,MATCH(D10,'Исходные кривые'!$B$8:$N$8,1)+1)-INDEX('Исходные кривые'!$B$9:$N$9,1,MATCH(D10,'Исходные кривые'!$B$8:$N$8,1)))/(INDEX('Исходные кривые'!$B$8:$N$8,1,MATCH(D10,'Исходные кривые'!$B$8:$N$8,1)+1)-INDEX('Исходные кривые'!$B$8:$N$8,1,MATCH(D10,'Исходные кривые'!$B$8:$N$8,1)))))</x:f>
        <x:v>15.424383561643836</x:v>
      </x:c>
      <x:c r="G10" s="39" t="n">
        <x:f>IF(D10&lt;=MIN('Исходные кривые'!$B$12:$K$12),INDEX('Исходные кривые'!$B$13:$K$13,1,1),IF(D10&gt;=MAX('Исходные кривые'!$B$12:$K$12),INDEX('Исходные кривые'!$B$13:$K$13,1,COLUMNS('Исходные кривые'!$B$13:$K$13)),INDEX('Исходные кривые'!$B$13:$K$13,1,MATCH(D10,'Исходные кривые'!$B$12:$K$12,1))+(D10-INDEX('Исходные кривые'!$B$12:$K$12,1,MATCH(D10,'Исходные кривые'!$B$12:$K$12,1)))*(INDEX('Исходные кривые'!$B$13:$K$13,1,MATCH(D10,'Исходные кривые'!$B$12:$K$12,1)+1)-INDEX('Исходные кривые'!$B$13:$K$13,1,MATCH(D10,'Исходные кривые'!$B$12:$K$12,1)))/(INDEX('Исходные кривые'!$B$12:$K$12,1,MATCH(D10,'Исходные кривые'!$B$12:$K$12,1)+1)-INDEX('Исходные кривые'!$B$12:$K$12,1,MATCH(D10,'Исходные кривые'!$B$12:$K$12,1)))))</x:f>
        <x:v>58.843835616438355</x:v>
      </x:c>
      <x:c r="H10" s="39" t="n">
        <x:f>IF(D10&lt;=MIN('Исходные кривые'!$B$12:$K$12),INDEX('Исходные кривые'!$B$14:$K$14,1,1),IF(D10&gt;=MAX('Исходные кривые'!$B$12:$K$12),INDEX('Исходные кривые'!$B$14:$K$14,1,COLUMNS('Исходные кривые'!$B$14:$K$14)),INDEX('Исходные кривые'!$B$14:$K$14,1,MATCH(D10,'Исходные кривые'!$B$12:$K$12,1))+(D10-INDEX('Исходные кривые'!$B$12:$K$12,1,MATCH(D10,'Исходные кривые'!$B$12:$K$12,1)))*(INDEX('Исходные кривые'!$B$14:$K$14,1,MATCH(D10,'Исходные кривые'!$B$12:$K$12,1)+1)-INDEX('Исходные кривые'!$B$14:$K$14,1,MATCH(D10,'Исходные кривые'!$B$12:$K$12,1)))/(INDEX('Исходные кривые'!$B$12:$K$12,1,MATCH(D10,'Исходные кривые'!$B$12:$K$12,1)+1)-INDEX('Исходные кривые'!$B$12:$K$12,1,MATCH(D10,'Исходные кривые'!$B$12:$K$12,1)))))</x:f>
        <x:v>-34.37534246575343</x:v>
      </x:c>
      <x:c r="I10" s="39" t="n">
        <x:f>IF(D10&lt;=MIN('Исходные кривые'!$B$17:$L$17),INDEX('Исходные кривые'!$B$18:$L$18,1,1),IF(D10&gt;=MAX('Исходные кривые'!$B$17:$L$17),INDEX('Исходные кривые'!$B$18:$L$18,1,COLUMNS('Исходные кривые'!$B$18:$L$18)),INDEX('Исходные кривые'!$B$18:$L$18,1,MATCH(D10,'Исходные кривые'!$B$17:$L$17,1))+(D10-INDEX('Исходные кривые'!$B$17:$L$17,1,MATCH(D10,'Исходные кривые'!$B$17:$L$17,1)))*(INDEX('Исходные кривые'!$B$18:$L$18,1,MATCH(D10,'Исходные кривые'!$B$17:$L$17,1)+1)-INDEX('Исходные кривые'!$B$18:$L$18,1,MATCH(D10,'Исходные кривые'!$B$17:$L$17,1)))/(INDEX('Исходные кривые'!$B$17:$L$17,1,MATCH(D10,'Исходные кривые'!$B$17:$L$17,1)+1)-INDEX('Исходные кривые'!$B$17:$L$17,1,MATCH(D10,'Исходные кривые'!$B$17:$L$17,1)))))</x:f>
        <x:v>4.924931506849315</x:v>
      </x:c>
      <x:c r="J10" s="39" t="n">
        <x:f>IF(D10&lt;=MIN('Исходные кривые'!$B$17:$L$17),INDEX('Исходные кривые'!$B$19:$L$19,1,1),IF(D10&gt;=MAX('Исходные кривые'!$B$17:$L$17),INDEX('Исходные кривые'!$B$19:$L$19,1,COLUMNS('Исходные кривые'!$B$19:$L$19)),INDEX('Исходные кривые'!$B$19:$L$19,1,MATCH(D10,'Исходные кривые'!$B$17:$L$17,1))+(D10-INDEX('Исходные кривые'!$B$17:$L$17,1,MATCH(D10,'Исходные кривые'!$B$17:$L$17,1)))*(INDEX('Исходные кривые'!$B$19:$L$19,1,MATCH(D10,'Исходные кривые'!$B$17:$L$17,1)+1)-INDEX('Исходные кривые'!$B$19:$L$19,1,MATCH(D10,'Исходные кривые'!$B$17:$L$17,1)))/(INDEX('Исходные кривые'!$B$17:$L$17,1,MATCH(D10,'Исходные кривые'!$B$17:$L$17,1)+1)-INDEX('Исходные кривые'!$B$17:$L$17,1,MATCH(D10,'Исходные кривые'!$B$17:$L$17,1)))))</x:f>
        <x:v>-3.6467123287671233</x:v>
      </x:c>
    </x:row>
    <x:row r="11">
      <x:c r="A11" s="26" t="str">
        <x:v>Купонные даты</x:v>
      </x:c>
      <x:c r="B11" s="27" t="n">
        <x:v>46596</x:v>
      </x:c>
      <x:c r="C11" s="30" t="n">
        <x:f>B11-'Настройки'!$B$4</x:f>
        <x:v>393</x:v>
      </x:c>
      <x:c r="D11" s="31" t="n">
        <x:f>C11/'Настройки'!$B$5</x:f>
        <x:v>1.0767123287671232</x:v>
      </x:c>
      <x:c r="E11" s="31" t="n">
        <x:f>IF(D11&lt;=MIN('Исходные кривые'!$B$4:$L$4),INDEX('Исходные кривые'!$B$5:$L$5,1,1),IF(D11&gt;=MAX('Исходные кривые'!$B$4:$L$4),INDEX('Исходные кривые'!$B$5:$L$5,1,COLUMNS('Исходные кривые'!$B$5:$L$5)),INDEX('Исходные кривые'!$B$5:$L$5,1,MATCH(D11,'Исходные кривые'!$B$4:$L$4,1))+(D11-INDEX('Исходные кривые'!$B$4:$L$4,1,MATCH(D11,'Исходные кривые'!$B$4:$L$4,1)))*(INDEX('Исходные кривые'!$B$5:$L$5,1,MATCH(D11,'Исходные кривые'!$B$4:$L$4,1)+1)-INDEX('Исходные кривые'!$B$5:$L$5,1,MATCH(D11,'Исходные кривые'!$B$4:$L$4,1)))/(INDEX('Исходные кривые'!$B$4:$L$4,1,MATCH(D11,'Исходные кривые'!$B$4:$L$4,1)+1)-INDEX('Исходные кривые'!$B$4:$L$4,1,MATCH(D11,'Исходные кривые'!$B$4:$L$4,1)))))</x:f>
        <x:v>13.445287671232876</x:v>
      </x:c>
      <x:c r="F11" s="31" t="n">
        <x:f>IF(D11&lt;=MIN('Исходные кривые'!$B$8:$N$8),INDEX('Исходные кривые'!$B$9:$N$9,1,1),IF(D11&gt;=MAX('Исходные кривые'!$B$8:$N$8),INDEX('Исходные кривые'!$B$9:$N$9,1,COLUMNS('Исходные кривые'!$B$9:$N$9)),INDEX('Исходные кривые'!$B$9:$N$9,1,MATCH(D11,'Исходные кривые'!$B$8:$N$8,1))+(D11-INDEX('Исходные кривые'!$B$8:$N$8,1,MATCH(D11,'Исходные кривые'!$B$8:$N$8,1)))*(INDEX('Исходные кривые'!$B$9:$N$9,1,MATCH(D11,'Исходные кривые'!$B$8:$N$8,1)+1)-INDEX('Исходные кривые'!$B$9:$N$9,1,MATCH(D11,'Исходные кривые'!$B$8:$N$8,1)))/(INDEX('Исходные кривые'!$B$8:$N$8,1,MATCH(D11,'Исходные кривые'!$B$8:$N$8,1)+1)-INDEX('Исходные кривые'!$B$8:$N$8,1,MATCH(D11,'Исходные кривые'!$B$8:$N$8,1)))))</x:f>
        <x:v>15.445287671232876</x:v>
      </x:c>
      <x:c r="G11" s="31" t="n">
        <x:f>IF(D11&lt;=MIN('Исходные кривые'!$B$12:$K$12),INDEX('Исходные кривые'!$B$13:$K$13,1,1),IF(D11&gt;=MAX('Исходные кривые'!$B$12:$K$12),INDEX('Исходные кривые'!$B$13:$K$13,1,COLUMNS('Исходные кривые'!$B$13:$K$13)),INDEX('Исходные кривые'!$B$13:$K$13,1,MATCH(D11,'Исходные кривые'!$B$12:$K$12,1))+(D11-INDEX('Исходные кривые'!$B$12:$K$12,1,MATCH(D11,'Исходные кривые'!$B$12:$K$12,1)))*(INDEX('Исходные кривые'!$B$13:$K$13,1,MATCH(D11,'Исходные кривые'!$B$12:$K$12,1)+1)-INDEX('Исходные кривые'!$B$13:$K$13,1,MATCH(D11,'Исходные кривые'!$B$12:$K$12,1)))/(INDEX('Исходные кривые'!$B$12:$K$12,1,MATCH(D11,'Исходные кривые'!$B$12:$K$12,1)+1)-INDEX('Исходные кривые'!$B$12:$K$12,1,MATCH(D11,'Исходные кривые'!$B$12:$K$12,1)))))</x:f>
        <x:v>57.76986301369863</x:v>
      </x:c>
      <x:c r="H11" s="31" t="n">
        <x:f>IF(D11&lt;=MIN('Исходные кривые'!$B$12:$K$12),INDEX('Исходные кривые'!$B$14:$K$14,1,1),IF(D11&gt;=MAX('Исходные кривые'!$B$12:$K$12),INDEX('Исходные кривые'!$B$14:$K$14,1,COLUMNS('Исходные кривые'!$B$14:$K$14)),INDEX('Исходные кривые'!$B$14:$K$14,1,MATCH(D11,'Исходные кривые'!$B$12:$K$12,1))+(D11-INDEX('Исходные кривые'!$B$12:$K$12,1,MATCH(D11,'Исходные кривые'!$B$12:$K$12,1)))*(INDEX('Исходные кривые'!$B$14:$K$14,1,MATCH(D11,'Исходные кривые'!$B$12:$K$12,1)+1)-INDEX('Исходные кривые'!$B$14:$K$14,1,MATCH(D11,'Исходные кривые'!$B$12:$K$12,1)))/(INDEX('Исходные кривые'!$B$12:$K$12,1,MATCH(D11,'Исходные кривые'!$B$12:$K$12,1)+1)-INDEX('Исходные кривые'!$B$12:$K$12,1,MATCH(D11,'Исходные кривые'!$B$12:$K$12,1)))))</x:f>
        <x:v>-30.846575342465755</x:v>
      </x:c>
      <x:c r="I11" s="31" t="n">
        <x:f>IF(D11&lt;=MIN('Исходные кривые'!$B$17:$L$17),INDEX('Исходные кривые'!$B$18:$L$18,1,1),IF(D11&gt;=MAX('Исходные кривые'!$B$17:$L$17),INDEX('Исходные кривые'!$B$18:$L$18,1,COLUMNS('Исходные кривые'!$B$18:$L$18)),INDEX('Исходные кривые'!$B$18:$L$18,1,MATCH(D11,'Исходные кривые'!$B$17:$L$17,1))+(D11-INDEX('Исходные кривые'!$B$17:$L$17,1,MATCH(D11,'Исходные кривые'!$B$17:$L$17,1)))*(INDEX('Исходные кривые'!$B$18:$L$18,1,MATCH(D11,'Исходные кривые'!$B$17:$L$17,1)+1)-INDEX('Исходные кривые'!$B$18:$L$18,1,MATCH(D11,'Исходные кривые'!$B$17:$L$17,1)))/(INDEX('Исходные кривые'!$B$17:$L$17,1,MATCH(D11,'Исходные кривые'!$B$17:$L$17,1)+1)-INDEX('Исходные кривые'!$B$17:$L$17,1,MATCH(D11,'Исходные кривые'!$B$17:$L$17,1)))))</x:f>
        <x:v>6.095890410958904</x:v>
      </x:c>
      <x:c r="J11" s="31" t="n">
        <x:f>IF(D11&lt;=MIN('Исходные кривые'!$B$17:$L$17),INDEX('Исходные кривые'!$B$19:$L$19,1,1),IF(D11&gt;=MAX('Исходные кривые'!$B$17:$L$17),INDEX('Исходные кривые'!$B$19:$L$19,1,COLUMNS('Исходные кривые'!$B$19:$L$19)),INDEX('Исходные кривые'!$B$19:$L$19,1,MATCH(D11,'Исходные кривые'!$B$17:$L$17,1))+(D11-INDEX('Исходные кривые'!$B$17:$L$17,1,MATCH(D11,'Исходные кривые'!$B$17:$L$17,1)))*(INDEX('Исходные кривые'!$B$19:$L$19,1,MATCH(D11,'Исходные кривые'!$B$17:$L$17,1)+1)-INDEX('Исходные кривые'!$B$19:$L$19,1,MATCH(D11,'Исходные кривые'!$B$17:$L$17,1)))/(INDEX('Исходные кривые'!$B$17:$L$17,1,MATCH(D11,'Исходные кривые'!$B$17:$L$17,1)+1)-INDEX('Исходные кривые'!$B$17:$L$17,1,MATCH(D11,'Исходные кривые'!$B$17:$L$17,1)))))</x:f>
        <x:v>-4.976986301369863</x:v>
      </x:c>
    </x:row>
    <x:row r="12">
      <x:c r="A12" s="26" t="str">
        <x:v>Купонные даты</x:v>
      </x:c>
      <x:c r="B12" s="27" t="n">
        <x:v>46778</x:v>
      </x:c>
      <x:c r="C12" s="30" t="n">
        <x:f>B12-'Настройки'!$B$4</x:f>
        <x:v>575</x:v>
      </x:c>
      <x:c r="D12" s="31" t="n">
        <x:f>C12/'Настройки'!$B$5</x:f>
        <x:v>1.5753424657534247</x:v>
      </x:c>
      <x:c r="E12" s="31" t="n">
        <x:f>IF(D12&lt;=MIN('Исходные кривые'!$B$4:$L$4),INDEX('Исходные кривые'!$B$5:$L$5,1,1),IF(D12&gt;=MAX('Исходные кривые'!$B$4:$L$4),INDEX('Исходные кривые'!$B$5:$L$5,1,COLUMNS('Исходные кривые'!$B$5:$L$5)),INDEX('Исходные кривые'!$B$5:$L$5,1,MATCH(D12,'Исходные кривые'!$B$4:$L$4,1))+(D12-INDEX('Исходные кривые'!$B$4:$L$4,1,MATCH(D12,'Исходные кривые'!$B$4:$L$4,1)))*(INDEX('Исходные кривые'!$B$5:$L$5,1,MATCH(D12,'Исходные кривые'!$B$4:$L$4,1)+1)-INDEX('Исходные кривые'!$B$5:$L$5,1,MATCH(D12,'Исходные кривые'!$B$4:$L$4,1)))/(INDEX('Исходные кривые'!$B$4:$L$4,1,MATCH(D12,'Исходные кривые'!$B$4:$L$4,1)+1)-INDEX('Исходные кривые'!$B$4:$L$4,1,MATCH(D12,'Исходные кривые'!$B$4:$L$4,1)))))</x:f>
        <x:v>13.674657534246576</x:v>
      </x:c>
      <x:c r="F12" s="31" t="n">
        <x:f>IF(D12&lt;=MIN('Исходные кривые'!$B$8:$N$8),INDEX('Исходные кривые'!$B$9:$N$9,1,1),IF(D12&gt;=MAX('Исходные кривые'!$B$8:$N$8),INDEX('Исходные кривые'!$B$9:$N$9,1,COLUMNS('Исходные кривые'!$B$9:$N$9)),INDEX('Исходные кривые'!$B$9:$N$9,1,MATCH(D12,'Исходные кривые'!$B$8:$N$8,1))+(D12-INDEX('Исходные кривые'!$B$8:$N$8,1,MATCH(D12,'Исходные кривые'!$B$8:$N$8,1)))*(INDEX('Исходные кривые'!$B$9:$N$9,1,MATCH(D12,'Исходные кривые'!$B$8:$N$8,1)+1)-INDEX('Исходные кривые'!$B$9:$N$9,1,MATCH(D12,'Исходные кривые'!$B$8:$N$8,1)))/(INDEX('Исходные кривые'!$B$8:$N$8,1,MATCH(D12,'Исходные кривые'!$B$8:$N$8,1)+1)-INDEX('Исходные кривые'!$B$8:$N$8,1,MATCH(D12,'Исходные кривые'!$B$8:$N$8,1)))))</x:f>
        <x:v>15.674657534246576</x:v>
      </x:c>
      <x:c r="G12" s="31" t="n">
        <x:f>IF(D12&lt;=MIN('Исходные кривые'!$B$12:$K$12),INDEX('Исходные кривые'!$B$13:$K$13,1,1),IF(D12&gt;=MAX('Исходные кривые'!$B$12:$K$12),INDEX('Исходные кривые'!$B$13:$K$13,1,COLUMNS('Исходные кривые'!$B$13:$K$13)),INDEX('Исходные кривые'!$B$13:$K$13,1,MATCH(D12,'Исходные кривые'!$B$12:$K$12,1))+(D12-INDEX('Исходные кривые'!$B$12:$K$12,1,MATCH(D12,'Исходные кривые'!$B$12:$K$12,1)))*(INDEX('Исходные кривые'!$B$13:$K$13,1,MATCH(D12,'Исходные кривые'!$B$12:$K$12,1)+1)-INDEX('Исходные кривые'!$B$13:$K$13,1,MATCH(D12,'Исходные кривые'!$B$12:$K$12,1)))/(INDEX('Исходные кривые'!$B$12:$K$12,1,MATCH(D12,'Исходные кривые'!$B$12:$K$12,1)+1)-INDEX('Исходные кривые'!$B$12:$K$12,1,MATCH(D12,'Исходные кривые'!$B$12:$K$12,1)))))</x:f>
        <x:v>56.273972602739725</x:v>
      </x:c>
      <x:c r="H12" s="31" t="n">
        <x:f>IF(D12&lt;=MIN('Исходные кривые'!$B$12:$K$12),INDEX('Исходные кривые'!$B$14:$K$14,1,1),IF(D12&gt;=MAX('Исходные кривые'!$B$12:$K$12),INDEX('Исходные кривые'!$B$14:$K$14,1,COLUMNS('Исходные кривые'!$B$14:$K$14)),INDEX('Исходные кривые'!$B$14:$K$14,1,MATCH(D12,'Исходные кривые'!$B$12:$K$12,1))+(D12-INDEX('Исходные кривые'!$B$12:$K$12,1,MATCH(D12,'Исходные кривые'!$B$12:$K$12,1)))*(INDEX('Исходные кривые'!$B$14:$K$14,1,MATCH(D12,'Исходные кривые'!$B$12:$K$12,1)+1)-INDEX('Исходные кривые'!$B$14:$K$14,1,MATCH(D12,'Исходные кривые'!$B$12:$K$12,1)))/(INDEX('Исходные кривые'!$B$12:$K$12,1,MATCH(D12,'Исходные кривые'!$B$12:$K$12,1)+1)-INDEX('Исходные кривые'!$B$12:$K$12,1,MATCH(D12,'Исходные кривые'!$B$12:$K$12,1)))))</x:f>
        <x:v>-29.84931506849315</x:v>
      </x:c>
      <x:c r="I12" s="31" t="n">
        <x:f>IF(D12&lt;=MIN('Исходные кривые'!$B$17:$L$17),INDEX('Исходные кривые'!$B$18:$L$18,1,1),IF(D12&gt;=MAX('Исходные кривые'!$B$17:$L$17),INDEX('Исходные кривые'!$B$18:$L$18,1,COLUMNS('Исходные кривые'!$B$18:$L$18)),INDEX('Исходные кривые'!$B$18:$L$18,1,MATCH(D12,'Исходные кривые'!$B$17:$L$17,1))+(D12-INDEX('Исходные кривые'!$B$17:$L$17,1,MATCH(D12,'Исходные кривые'!$B$17:$L$17,1)))*(INDEX('Исходные кривые'!$B$18:$L$18,1,MATCH(D12,'Исходные кривые'!$B$17:$L$17,1)+1)-INDEX('Исходные кривые'!$B$18:$L$18,1,MATCH(D12,'Исходные кривые'!$B$17:$L$17,1)))/(INDEX('Исходные кривые'!$B$17:$L$17,1,MATCH(D12,'Исходные кривые'!$B$17:$L$17,1)+1)-INDEX('Исходные кривые'!$B$17:$L$17,1,MATCH(D12,'Исходные кривые'!$B$17:$L$17,1)))))</x:f>
        <x:v>6.719178082191781</x:v>
      </x:c>
      <x:c r="J12" s="31" t="n">
        <x:f>IF(D12&lt;=MIN('Исходные кривые'!$B$17:$L$17),INDEX('Исходные кривые'!$B$19:$L$19,1,1),IF(D12&gt;=MAX('Исходные кривые'!$B$17:$L$17),INDEX('Исходные кривые'!$B$19:$L$19,1,COLUMNS('Исходные кривые'!$B$19:$L$19)),INDEX('Исходные кривые'!$B$19:$L$19,1,MATCH(D12,'Исходные кривые'!$B$17:$L$17,1))+(D12-INDEX('Исходные кривые'!$B$17:$L$17,1,MATCH(D12,'Исходные кривые'!$B$17:$L$17,1)))*(INDEX('Исходные кривые'!$B$19:$L$19,1,MATCH(D12,'Исходные кривые'!$B$17:$L$17,1)+1)-INDEX('Исходные кривые'!$B$19:$L$19,1,MATCH(D12,'Исходные кривые'!$B$17:$L$17,1)))/(INDEX('Исходные кривые'!$B$17:$L$17,1,MATCH(D12,'Исходные кривые'!$B$17:$L$17,1)+1)-INDEX('Исходные кривые'!$B$17:$L$17,1,MATCH(D12,'Исходные кривые'!$B$17:$L$17,1)))))</x:f>
        <x:v>-4.8273972602739725</x:v>
      </x:c>
    </x:row>
    <x:row r="13">
      <x:c r="A13" s="26" t="str">
        <x:v>Купонные даты</x:v>
      </x:c>
      <x:c r="B13" s="27" t="n">
        <x:v>46960</x:v>
      </x:c>
      <x:c r="C13" s="30" t="n">
        <x:f>B13-'Настройки'!$B$4</x:f>
        <x:v>757</x:v>
      </x:c>
      <x:c r="D13" s="31" t="n">
        <x:f>C13/'Настройки'!$B$5</x:f>
        <x:v>2.073972602739726</x:v>
      </x:c>
      <x:c r="E13" s="31" t="n">
        <x:f>IF(D13&lt;=MIN('Исходные кривые'!$B$4:$L$4),INDEX('Исходные кривые'!$B$5:$L$5,1,1),IF(D13&gt;=MAX('Исходные кривые'!$B$4:$L$4),INDEX('Исходные кривые'!$B$5:$L$5,1,COLUMNS('Исходные кривые'!$B$5:$L$5)),INDEX('Исходные кривые'!$B$5:$L$5,1,MATCH(D13,'Исходные кривые'!$B$4:$L$4,1))+(D13-INDEX('Исходные кривые'!$B$4:$L$4,1,MATCH(D13,'Исходные кривые'!$B$4:$L$4,1)))*(INDEX('Исходные кривые'!$B$5:$L$5,1,MATCH(D13,'Исходные кривые'!$B$4:$L$4,1)+1)-INDEX('Исходные кривые'!$B$5:$L$5,1,MATCH(D13,'Исходные кривые'!$B$4:$L$4,1)))/(INDEX('Исходные кривые'!$B$4:$L$4,1,MATCH(D13,'Исходные кривые'!$B$4:$L$4,1)+1)-INDEX('Исходные кривые'!$B$4:$L$4,1,MATCH(D13,'Исходные кривые'!$B$4:$L$4,1)))))</x:f>
        <x:v>13.914383561643834</x:v>
      </x:c>
      <x:c r="F13" s="31" t="n">
        <x:f>IF(D13&lt;=MIN('Исходные кривые'!$B$8:$N$8),INDEX('Исходные кривые'!$B$9:$N$9,1,1),IF(D13&gt;=MAX('Исходные кривые'!$B$8:$N$8),INDEX('Исходные кривые'!$B$9:$N$9,1,COLUMNS('Исходные кривые'!$B$9:$N$9)),INDEX('Исходные кривые'!$B$9:$N$9,1,MATCH(D13,'Исходные кривые'!$B$8:$N$8,1))+(D13-INDEX('Исходные кривые'!$B$8:$N$8,1,MATCH(D13,'Исходные кривые'!$B$8:$N$8,1)))*(INDEX('Исходные кривые'!$B$9:$N$9,1,MATCH(D13,'Исходные кривые'!$B$8:$N$8,1)+1)-INDEX('Исходные кривые'!$B$9:$N$9,1,MATCH(D13,'Исходные кривые'!$B$8:$N$8,1)))/(INDEX('Исходные кривые'!$B$8:$N$8,1,MATCH(D13,'Исходные кривые'!$B$8:$N$8,1)+1)-INDEX('Исходные кривые'!$B$8:$N$8,1,MATCH(D13,'Исходные кривые'!$B$8:$N$8,1)))))</x:f>
        <x:v>15.914383561643834</x:v>
      </x:c>
      <x:c r="G13" s="31" t="n">
        <x:f>IF(D13&lt;=MIN('Исходные кривые'!$B$12:$K$12),INDEX('Исходные кривые'!$B$13:$K$13,1,1),IF(D13&gt;=MAX('Исходные кривые'!$B$12:$K$12),INDEX('Исходные кривые'!$B$13:$K$13,1,COLUMNS('Исходные кривые'!$B$13:$K$13)),INDEX('Исходные кривые'!$B$13:$K$13,1,MATCH(D13,'Исходные кривые'!$B$12:$K$12,1))+(D13-INDEX('Исходные кривые'!$B$12:$K$12,1,MATCH(D13,'Исходные кривые'!$B$12:$K$12,1)))*(INDEX('Исходные кривые'!$B$13:$K$13,1,MATCH(D13,'Исходные кривые'!$B$12:$K$12,1)+1)-INDEX('Исходные кривые'!$B$13:$K$13,1,MATCH(D13,'Исходные кривые'!$B$12:$K$12,1)))/(INDEX('Исходные кривые'!$B$12:$K$12,1,MATCH(D13,'Исходные кривые'!$B$12:$K$12,1)+1)-INDEX('Исходные кривые'!$B$12:$K$12,1,MATCH(D13,'Исходные кривые'!$B$12:$K$12,1)))))</x:f>
        <x:v>54.92602739726027</x:v>
      </x:c>
      <x:c r="H13" s="31" t="n">
        <x:f>IF(D13&lt;=MIN('Исходные кривые'!$B$12:$K$12),INDEX('Исходные кривые'!$B$14:$K$14,1,1),IF(D13&gt;=MAX('Исходные кривые'!$B$12:$K$12),INDEX('Исходные кривые'!$B$14:$K$14,1,COLUMNS('Исходные кривые'!$B$14:$K$14)),INDEX('Исходные кривые'!$B$14:$K$14,1,MATCH(D13,'Исходные кривые'!$B$12:$K$12,1))+(D13-INDEX('Исходные кривые'!$B$12:$K$12,1,MATCH(D13,'Исходные кривые'!$B$12:$K$12,1)))*(INDEX('Исходные кривые'!$B$14:$K$14,1,MATCH(D13,'Исходные кривые'!$B$12:$K$12,1)+1)-INDEX('Исходные кривые'!$B$14:$K$14,1,MATCH(D13,'Исходные кривые'!$B$12:$K$12,1)))/(INDEX('Исходные кривые'!$B$12:$K$12,1,MATCH(D13,'Исходные кривые'!$B$12:$K$12,1)+1)-INDEX('Исходные кривые'!$B$12:$K$12,1,MATCH(D13,'Исходные кривые'!$B$12:$K$12,1)))))</x:f>
        <x:v>-28.926027397260274</x:v>
      </x:c>
      <x:c r="I13" s="31" t="n">
        <x:f>IF(D13&lt;=MIN('Исходные кривые'!$B$17:$L$17),INDEX('Исходные кривые'!$B$18:$L$18,1,1),IF(D13&gt;=MAX('Исходные кривые'!$B$17:$L$17),INDEX('Исходные кривые'!$B$18:$L$18,1,COLUMNS('Исходные кривые'!$B$18:$L$18)),INDEX('Исходные кривые'!$B$18:$L$18,1,MATCH(D13,'Исходные кривые'!$B$17:$L$17,1))+(D13-INDEX('Исходные кривые'!$B$17:$L$17,1,MATCH(D13,'Исходные кривые'!$B$17:$L$17,1)))*(INDEX('Исходные кривые'!$B$18:$L$18,1,MATCH(D13,'Исходные кривые'!$B$17:$L$17,1)+1)-INDEX('Исходные кривые'!$B$18:$L$18,1,MATCH(D13,'Исходные кривые'!$B$17:$L$17,1)))/(INDEX('Исходные кривые'!$B$17:$L$17,1,MATCH(D13,'Исходные кривые'!$B$17:$L$17,1)+1)-INDEX('Исходные кривые'!$B$17:$L$17,1,MATCH(D13,'Исходные кривые'!$B$17:$L$17,1)))))</x:f>
        <x:v>7.187123287671233</x:v>
      </x:c>
      <x:c r="J13" s="31" t="n">
        <x:f>IF(D13&lt;=MIN('Исходные кривые'!$B$17:$L$17),INDEX('Исходные кривые'!$B$19:$L$19,1,1),IF(D13&gt;=MAX('Исходные кривые'!$B$17:$L$17),INDEX('Исходные кривые'!$B$19:$L$19,1,COLUMNS('Исходные кривые'!$B$19:$L$19)),INDEX('Исходные кривые'!$B$19:$L$19,1,MATCH(D13,'Исходные кривые'!$B$17:$L$17,1))+(D13-INDEX('Исходные кривые'!$B$17:$L$17,1,MATCH(D13,'Исходные кривые'!$B$17:$L$17,1)))*(INDEX('Исходные кривые'!$B$19:$L$19,1,MATCH(D13,'Исходные кривые'!$B$17:$L$17,1)+1)-INDEX('Исходные кривые'!$B$19:$L$19,1,MATCH(D13,'Исходные кривые'!$B$17:$L$17,1)))/(INDEX('Исходные кривые'!$B$17:$L$17,1,MATCH(D13,'Исходные кривые'!$B$17:$L$17,1)+1)-INDEX('Исходные кривые'!$B$17:$L$17,1,MATCH(D13,'Исходные кривые'!$B$17:$L$17,1)))))</x:f>
        <x:v>-4.622328767123288</x:v>
      </x:c>
    </x:row>
    <x:row r="14">
      <x:c r="A14" s="26" t="str">
        <x:v>Купонные даты</x:v>
      </x:c>
      <x:c r="B14" s="27" t="n">
        <x:v>47142</x:v>
      </x:c>
      <x:c r="C14" s="30" t="n">
        <x:f>B14-'Настройки'!$B$4</x:f>
        <x:v>939</x:v>
      </x:c>
      <x:c r="D14" s="31" t="n">
        <x:f>C14/'Настройки'!$B$5</x:f>
        <x:v>2.5726027397260274</x:v>
      </x:c>
      <x:c r="E14" s="31" t="n">
        <x:f>IF(D14&lt;=MIN('Исходные кривые'!$B$4:$L$4),INDEX('Исходные кривые'!$B$5:$L$5,1,1),IF(D14&gt;=MAX('Исходные кривые'!$B$4:$L$4),INDEX('Исходные кривые'!$B$5:$L$5,1,COLUMNS('Исходные кривые'!$B$5:$L$5)),INDEX('Исходные кривые'!$B$5:$L$5,1,MATCH(D14,'Исходные кривые'!$B$4:$L$4,1))+(D14-INDEX('Исходные кривые'!$B$4:$L$4,1,MATCH(D14,'Исходные кривые'!$B$4:$L$4,1)))*(INDEX('Исходные кривые'!$B$5:$L$5,1,MATCH(D14,'Исходные кривые'!$B$4:$L$4,1)+1)-INDEX('Исходные кривые'!$B$5:$L$5,1,MATCH(D14,'Исходные кривые'!$B$4:$L$4,1)))/(INDEX('Исходные кривые'!$B$4:$L$4,1,MATCH(D14,'Исходные кривые'!$B$4:$L$4,1)+1)-INDEX('Исходные кривые'!$B$4:$L$4,1,MATCH(D14,'Исходные кривые'!$B$4:$L$4,1)))))</x:f>
        <x:v>14.213561643835616</x:v>
      </x:c>
      <x:c r="F14" s="31" t="n">
        <x:f>IF(D14&lt;=MIN('Исходные кривые'!$B$8:$N$8),INDEX('Исходные кривые'!$B$9:$N$9,1,1),IF(D14&gt;=MAX('Исходные кривые'!$B$8:$N$8),INDEX('Исходные кривые'!$B$9:$N$9,1,COLUMNS('Исходные кривые'!$B$9:$N$9)),INDEX('Исходные кривые'!$B$9:$N$9,1,MATCH(D14,'Исходные кривые'!$B$8:$N$8,1))+(D14-INDEX('Исходные кривые'!$B$8:$N$8,1,MATCH(D14,'Исходные кривые'!$B$8:$N$8,1)))*(INDEX('Исходные кривые'!$B$9:$N$9,1,MATCH(D14,'Исходные кривые'!$B$8:$N$8,1)+1)-INDEX('Исходные кривые'!$B$9:$N$9,1,MATCH(D14,'Исходные кривые'!$B$8:$N$8,1)))/(INDEX('Исходные кривые'!$B$8:$N$8,1,MATCH(D14,'Исходные кривые'!$B$8:$N$8,1)+1)-INDEX('Исходные кривые'!$B$8:$N$8,1,MATCH(D14,'Исходные кривые'!$B$8:$N$8,1)))))</x:f>
        <x:v>16.213561643835614</x:v>
      </x:c>
      <x:c r="G14" s="31" t="n">
        <x:f>IF(D14&lt;=MIN('Исходные кривые'!$B$12:$K$12),INDEX('Исходные кривые'!$B$13:$K$13,1,1),IF(D14&gt;=MAX('Исходные кривые'!$B$12:$K$12),INDEX('Исходные кривые'!$B$13:$K$13,1,COLUMNS('Исходные кривые'!$B$13:$K$13)),INDEX('Исходные кривые'!$B$13:$K$13,1,MATCH(D14,'Исходные кривые'!$B$12:$K$12,1))+(D14-INDEX('Исходные кривые'!$B$12:$K$12,1,MATCH(D14,'Исходные кривые'!$B$12:$K$12,1)))*(INDEX('Исходные кривые'!$B$13:$K$13,1,MATCH(D14,'Исходные кривые'!$B$12:$K$12,1)+1)-INDEX('Исходные кривые'!$B$13:$K$13,1,MATCH(D14,'Исходные кривые'!$B$12:$K$12,1)))/(INDEX('Исходные кривые'!$B$12:$K$12,1,MATCH(D14,'Исходные кривые'!$B$12:$K$12,1)+1)-INDEX('Исходные кривые'!$B$12:$K$12,1,MATCH(D14,'Исходные кривые'!$B$12:$K$12,1)))))</x:f>
        <x:v>54.42739726027397</x:v>
      </x:c>
      <x:c r="H14" s="31" t="n">
        <x:f>IF(D14&lt;=MIN('Исходные кривые'!$B$12:$K$12),INDEX('Исходные кривые'!$B$14:$K$14,1,1),IF(D14&gt;=MAX('Исходные кривые'!$B$12:$K$12),INDEX('Исходные кривые'!$B$14:$K$14,1,COLUMNS('Исходные кривые'!$B$14:$K$14)),INDEX('Исходные кривые'!$B$14:$K$14,1,MATCH(D14,'Исходные кривые'!$B$12:$K$12,1))+(D14-INDEX('Исходные кривые'!$B$12:$K$12,1,MATCH(D14,'Исходные кривые'!$B$12:$K$12,1)))*(INDEX('Исходные кривые'!$B$14:$K$14,1,MATCH(D14,'Исходные кривые'!$B$12:$K$12,1)+1)-INDEX('Исходные кривые'!$B$14:$K$14,1,MATCH(D14,'Исходные кривые'!$B$12:$K$12,1)))/(INDEX('Исходные кривые'!$B$12:$K$12,1,MATCH(D14,'Исходные кривые'!$B$12:$K$12,1)+1)-INDEX('Исходные кривые'!$B$12:$K$12,1,MATCH(D14,'Исходные кривые'!$B$12:$K$12,1)))))</x:f>
        <x:v>-28.427397260273974</x:v>
      </x:c>
      <x:c r="I14" s="31" t="n">
        <x:f>IF(D14&lt;=MIN('Исходные кривые'!$B$17:$L$17),INDEX('Исходные кривые'!$B$18:$L$18,1,1),IF(D14&gt;=MAX('Исходные кривые'!$B$17:$L$17),INDEX('Исходные кривые'!$B$18:$L$18,1,COLUMNS('Исходные кривые'!$B$18:$L$18)),INDEX('Исходные кривые'!$B$18:$L$18,1,MATCH(D14,'Исходные кривые'!$B$17:$L$17,1))+(D14-INDEX('Исходные кривые'!$B$17:$L$17,1,MATCH(D14,'Исходные кривые'!$B$17:$L$17,1)))*(INDEX('Исходные кривые'!$B$18:$L$18,1,MATCH(D14,'Исходные кривые'!$B$17:$L$17,1)+1)-INDEX('Исходные кривые'!$B$18:$L$18,1,MATCH(D14,'Исходные кривые'!$B$17:$L$17,1)))/(INDEX('Исходные кривые'!$B$17:$L$17,1,MATCH(D14,'Исходные кривые'!$B$17:$L$17,1)+1)-INDEX('Исходные кривые'!$B$17:$L$17,1,MATCH(D14,'Исходные кривые'!$B$17:$L$17,1)))))</x:f>
        <x:v>6.763287671232877</x:v>
      </x:c>
      <x:c r="J14" s="31" t="n">
        <x:f>IF(D14&lt;=MIN('Исходные кривые'!$B$17:$L$17),INDEX('Исходные кривые'!$B$19:$L$19,1,1),IF(D14&gt;=MAX('Исходные кривые'!$B$17:$L$17),INDEX('Исходные кривые'!$B$19:$L$19,1,COLUMNS('Исходные кривые'!$B$19:$L$19)),INDEX('Исходные кривые'!$B$19:$L$19,1,MATCH(D14,'Исходные кривые'!$B$17:$L$17,1))+(D14-INDEX('Исходные кривые'!$B$17:$L$17,1,MATCH(D14,'Исходные кривые'!$B$17:$L$17,1)))*(INDEX('Исходные кривые'!$B$19:$L$19,1,MATCH(D14,'Исходные кривые'!$B$17:$L$17,1)+1)-INDEX('Исходные кривые'!$B$19:$L$19,1,MATCH(D14,'Исходные кривые'!$B$17:$L$17,1)))/(INDEX('Исходные кривые'!$B$17:$L$17,1,MATCH(D14,'Исходные кривые'!$B$17:$L$17,1)+1)-INDEX('Исходные кривые'!$B$17:$L$17,1,MATCH(D14,'Исходные кривые'!$B$17:$L$17,1)))))</x:f>
        <x:v>-4.098767123287671</x:v>
      </x:c>
    </x:row>
    <x:row r="15">
      <x:c r="A15" s="26" t="str">
        <x:v>Купонные даты</x:v>
      </x:c>
      <x:c r="B15" s="27" t="n">
        <x:v>47324</x:v>
      </x:c>
      <x:c r="C15" s="30" t="n">
        <x:f>B15-'Настройки'!$B$4</x:f>
        <x:v>1121</x:v>
      </x:c>
      <x:c r="D15" s="31" t="n">
        <x:f>C15/'Настройки'!$B$5</x:f>
        <x:v>3.0712328767123287</x:v>
      </x:c>
      <x:c r="E15" s="31" t="n">
        <x:f>IF(D15&lt;=MIN('Исходные кривые'!$B$4:$L$4),INDEX('Исходные кривые'!$B$5:$L$5,1,1),IF(D15&gt;=MAX('Исходные кривые'!$B$4:$L$4),INDEX('Исходные кривые'!$B$5:$L$5,1,COLUMNS('Исходные кривые'!$B$5:$L$5)),INDEX('Исходные кривые'!$B$5:$L$5,1,MATCH(D15,'Исходные кривые'!$B$4:$L$4,1))+(D15-INDEX('Исходные кривые'!$B$4:$L$4,1,MATCH(D15,'Исходные кривые'!$B$4:$L$4,1)))*(INDEX('Исходные кривые'!$B$5:$L$5,1,MATCH(D15,'Исходные кривые'!$B$4:$L$4,1)+1)-INDEX('Исходные кривые'!$B$5:$L$5,1,MATCH(D15,'Исходные кривые'!$B$4:$L$4,1)))/(INDEX('Исходные кривые'!$B$4:$L$4,1,MATCH(D15,'Исходные кривые'!$B$4:$L$4,1)+1)-INDEX('Исходные кривые'!$B$4:$L$4,1,MATCH(D15,'Исходные кривые'!$B$4:$L$4,1)))))</x:f>
        <x:v>14.503835616438357</x:v>
      </x:c>
      <x:c r="F15" s="31" t="n">
        <x:f>IF(D15&lt;=MIN('Исходные кривые'!$B$8:$N$8),INDEX('Исходные кривые'!$B$9:$N$9,1,1),IF(D15&gt;=MAX('Исходные кривые'!$B$8:$N$8),INDEX('Исходные кривые'!$B$9:$N$9,1,COLUMNS('Исходные кривые'!$B$9:$N$9)),INDEX('Исходные кривые'!$B$9:$N$9,1,MATCH(D15,'Исходные кривые'!$B$8:$N$8,1))+(D15-INDEX('Исходные кривые'!$B$8:$N$8,1,MATCH(D15,'Исходные кривые'!$B$8:$N$8,1)))*(INDEX('Исходные кривые'!$B$9:$N$9,1,MATCH(D15,'Исходные кривые'!$B$8:$N$8,1)+1)-INDEX('Исходные кривые'!$B$9:$N$9,1,MATCH(D15,'Исходные кривые'!$B$8:$N$8,1)))/(INDEX('Исходные кривые'!$B$8:$N$8,1,MATCH(D15,'Исходные кривые'!$B$8:$N$8,1)+1)-INDEX('Исходные кривые'!$B$8:$N$8,1,MATCH(D15,'Исходные кривые'!$B$8:$N$8,1)))))</x:f>
        <x:v>16.503835616438355</x:v>
      </x:c>
      <x:c r="G15" s="31" t="n">
        <x:f>IF(D15&lt;=MIN('Исходные кривые'!$B$12:$K$12),INDEX('Исходные кривые'!$B$13:$K$13,1,1),IF(D15&gt;=MAX('Исходные кривые'!$B$12:$K$12),INDEX('Исходные кривые'!$B$13:$K$13,1,COLUMNS('Исходные кривые'!$B$13:$K$13)),INDEX('Исходные кривые'!$B$13:$K$13,1,MATCH(D15,'Исходные кривые'!$B$12:$K$12,1))+(D15-INDEX('Исходные кривые'!$B$12:$K$12,1,MATCH(D15,'Исходные кривые'!$B$12:$K$12,1)))*(INDEX('Исходные кривые'!$B$13:$K$13,1,MATCH(D15,'Исходные кривые'!$B$12:$K$12,1)+1)-INDEX('Исходные кривые'!$B$13:$K$13,1,MATCH(D15,'Исходные кривые'!$B$12:$K$12,1)))/(INDEX('Исходные кривые'!$B$12:$K$12,1,MATCH(D15,'Исходные кривые'!$B$12:$K$12,1)+1)-INDEX('Исходные кривые'!$B$12:$K$12,1,MATCH(D15,'Исходные кривые'!$B$12:$K$12,1)))))</x:f>
        <x:v>53.78630136986301</x:v>
      </x:c>
      <x:c r="H15" s="31" t="n">
        <x:f>IF(D15&lt;=MIN('Исходные кривые'!$B$12:$K$12),INDEX('Исходные кривые'!$B$14:$K$14,1,1),IF(D15&gt;=MAX('Исходные кривые'!$B$12:$K$12),INDEX('Исходные кривые'!$B$14:$K$14,1,COLUMNS('Исходные кривые'!$B$14:$K$14)),INDEX('Исходные кривые'!$B$14:$K$14,1,MATCH(D15,'Исходные кривые'!$B$12:$K$12,1))+(D15-INDEX('Исходные кривые'!$B$12:$K$12,1,MATCH(D15,'Исходные кривые'!$B$12:$K$12,1)))*(INDEX('Исходные кривые'!$B$14:$K$14,1,MATCH(D15,'Исходные кривые'!$B$12:$K$12,1)+1)-INDEX('Исходные кривые'!$B$14:$K$14,1,MATCH(D15,'Исходные кривые'!$B$12:$K$12,1)))/(INDEX('Исходные кривые'!$B$12:$K$12,1,MATCH(D15,'Исходные кривые'!$B$12:$K$12,1)+1)-INDEX('Исходные кривые'!$B$12:$K$12,1,MATCH(D15,'Исходные кривые'!$B$12:$K$12,1)))))</x:f>
        <x:v>-27.964383561643835</x:v>
      </x:c>
      <x:c r="I15" s="31" t="n">
        <x:f>IF(D15&lt;=MIN('Исходные кривые'!$B$17:$L$17),INDEX('Исходные кривые'!$B$18:$L$18,1,1),IF(D15&gt;=MAX('Исходные кривые'!$B$17:$L$17),INDEX('Исходные кривые'!$B$18:$L$18,1,COLUMNS('Исходные кривые'!$B$18:$L$18)),INDEX('Исходные кривые'!$B$18:$L$18,1,MATCH(D15,'Исходные кривые'!$B$17:$L$17,1))+(D15-INDEX('Исходные кривые'!$B$17:$L$17,1,MATCH(D15,'Исходные кривые'!$B$17:$L$17,1)))*(INDEX('Исходные кривые'!$B$18:$L$18,1,MATCH(D15,'Исходные кривые'!$B$17:$L$17,1)+1)-INDEX('Исходные кривые'!$B$18:$L$18,1,MATCH(D15,'Исходные кривые'!$B$17:$L$17,1)))/(INDEX('Исходные кривые'!$B$17:$L$17,1,MATCH(D15,'Исходные кривые'!$B$17:$L$17,1)+1)-INDEX('Исходные кривые'!$B$17:$L$17,1,MATCH(D15,'Исходные кривые'!$B$17:$L$17,1)))))</x:f>
        <x:v>6.382191780821918</x:v>
      </x:c>
      <x:c r="J15" s="31" t="n">
        <x:f>IF(D15&lt;=MIN('Исходные кривые'!$B$17:$L$17),INDEX('Исходные кривые'!$B$19:$L$19,1,1),IF(D15&gt;=MAX('Исходные кривые'!$B$17:$L$17),INDEX('Исходные кривые'!$B$19:$L$19,1,COLUMNS('Исходные кривые'!$B$19:$L$19)),INDEX('Исходные кривые'!$B$19:$L$19,1,MATCH(D15,'Исходные кривые'!$B$17:$L$17,1))+(D15-INDEX('Исходные кривые'!$B$17:$L$17,1,MATCH(D15,'Исходные кривые'!$B$17:$L$17,1)))*(INDEX('Исходные кривые'!$B$19:$L$19,1,MATCH(D15,'Исходные кривые'!$B$17:$L$17,1)+1)-INDEX('Исходные кривые'!$B$19:$L$19,1,MATCH(D15,'Исходные кривые'!$B$17:$L$17,1)))/(INDEX('Исходные кривые'!$B$17:$L$17,1,MATCH(D15,'Исходные кривые'!$B$17:$L$17,1)+1)-INDEX('Исходные кривые'!$B$17:$L$17,1,MATCH(D15,'Исходные кривые'!$B$17:$L$17,1)))))</x:f>
        <x:v>-3.593013698630137</x:v>
      </x:c>
    </x:row>
    <x:row r="16">
      <x:c r="A16" s="26" t="str">
        <x:v>Купонные даты</x:v>
      </x:c>
      <x:c r="B16" s="27" t="n">
        <x:v>47506</x:v>
      </x:c>
      <x:c r="C16" s="30" t="n">
        <x:f>B16-'Настройки'!$B$4</x:f>
        <x:v>1303</x:v>
      </x:c>
      <x:c r="D16" s="31" t="n">
        <x:f>C16/'Настройки'!$B$5</x:f>
        <x:v>3.56986301369863</x:v>
      </x:c>
      <x:c r="E16" s="31" t="n">
        <x:f>IF(D16&lt;=MIN('Исходные кривые'!$B$4:$L$4),INDEX('Исходные кривые'!$B$5:$L$5,1,1),IF(D16&gt;=MAX('Исходные кривые'!$B$4:$L$4),INDEX('Исходные кривые'!$B$5:$L$5,1,COLUMNS('Исходные кривые'!$B$5:$L$5)),INDEX('Исходные кривые'!$B$5:$L$5,1,MATCH(D16,'Исходные кривые'!$B$4:$L$4,1))+(D16-INDEX('Исходные кривые'!$B$4:$L$4,1,MATCH(D16,'Исходные кривые'!$B$4:$L$4,1)))*(INDEX('Исходные кривые'!$B$5:$L$5,1,MATCH(D16,'Исходные кривые'!$B$4:$L$4,1)+1)-INDEX('Исходные кривые'!$B$5:$L$5,1,MATCH(D16,'Исходные кривые'!$B$4:$L$4,1)))/(INDEX('Исходные кривые'!$B$4:$L$4,1,MATCH(D16,'Исходные кривые'!$B$4:$L$4,1)+1)-INDEX('Исходные кривые'!$B$4:$L$4,1,MATCH(D16,'Исходные кривые'!$B$4:$L$4,1)))))</x:f>
        <x:v>14.74068493150685</x:v>
      </x:c>
      <x:c r="F16" s="31" t="n">
        <x:f>IF(D16&lt;=MIN('Исходные кривые'!$B$8:$N$8),INDEX('Исходные кривые'!$B$9:$N$9,1,1),IF(D16&gt;=MAX('Исходные кривые'!$B$8:$N$8),INDEX('Исходные кривые'!$B$9:$N$9,1,COLUMNS('Исходные кривые'!$B$9:$N$9)),INDEX('Исходные кривые'!$B$9:$N$9,1,MATCH(D16,'Исходные кривые'!$B$8:$N$8,1))+(D16-INDEX('Исходные кривые'!$B$8:$N$8,1,MATCH(D16,'Исходные кривые'!$B$8:$N$8,1)))*(INDEX('Исходные кривые'!$B$9:$N$9,1,MATCH(D16,'Исходные кривые'!$B$8:$N$8,1)+1)-INDEX('Исходные кривые'!$B$9:$N$9,1,MATCH(D16,'Исходные кривые'!$B$8:$N$8,1)))/(INDEX('Исходные кривые'!$B$8:$N$8,1,MATCH(D16,'Исходные кривые'!$B$8:$N$8,1)+1)-INDEX('Исходные кривые'!$B$8:$N$8,1,MATCH(D16,'Исходные кривые'!$B$8:$N$8,1)))))</x:f>
        <x:v>16.74068493150685</x:v>
      </x:c>
      <x:c r="G16" s="31" t="n">
        <x:f>IF(D16&lt;=MIN('Исходные кривые'!$B$12:$K$12),INDEX('Исходные кривые'!$B$13:$K$13,1,1),IF(D16&gt;=MAX('Исходные кривые'!$B$12:$K$12),INDEX('Исходные кривые'!$B$13:$K$13,1,COLUMNS('Исходные кривые'!$B$13:$K$13)),INDEX('Исходные кривые'!$B$13:$K$13,1,MATCH(D16,'Исходные кривые'!$B$12:$K$12,1))+(D16-INDEX('Исходные кривые'!$B$12:$K$12,1,MATCH(D16,'Исходные кривые'!$B$12:$K$12,1)))*(INDEX('Исходные кривые'!$B$13:$K$13,1,MATCH(D16,'Исходные кривые'!$B$12:$K$12,1)+1)-INDEX('Исходные кривые'!$B$13:$K$13,1,MATCH(D16,'Исходные кривые'!$B$12:$K$12,1)))/(INDEX('Исходные кривые'!$B$12:$K$12,1,MATCH(D16,'Исходные кривые'!$B$12:$K$12,1)+1)-INDEX('Исходные кривые'!$B$12:$K$12,1,MATCH(D16,'Исходные кривые'!$B$12:$K$12,1)))))</x:f>
        <x:v>52.29041095890411</x:v>
      </x:c>
      <x:c r="H16" s="31" t="n">
        <x:f>IF(D16&lt;=MIN('Исходные кривые'!$B$12:$K$12),INDEX('Исходные кривые'!$B$14:$K$14,1,1),IF(D16&gt;=MAX('Исходные кривые'!$B$12:$K$12),INDEX('Исходные кривые'!$B$14:$K$14,1,COLUMNS('Исходные кривые'!$B$14:$K$14)),INDEX('Исходные кривые'!$B$14:$K$14,1,MATCH(D16,'Исходные кривые'!$B$12:$K$12,1))+(D16-INDEX('Исходные кривые'!$B$12:$K$12,1,MATCH(D16,'Исходные кривые'!$B$12:$K$12,1)))*(INDEX('Исходные кривые'!$B$14:$K$14,1,MATCH(D16,'Исходные кривые'!$B$12:$K$12,1)+1)-INDEX('Исходные кривые'!$B$14:$K$14,1,MATCH(D16,'Исходные кривые'!$B$12:$K$12,1)))/(INDEX('Исходные кривые'!$B$12:$K$12,1,MATCH(D16,'Исходные кривые'!$B$12:$K$12,1)+1)-INDEX('Исходные кривые'!$B$12:$K$12,1,MATCH(D16,'Исходные кривые'!$B$12:$K$12,1)))))</x:f>
        <x:v>-27.715068493150685</x:v>
      </x:c>
      <x:c r="I16" s="31" t="n">
        <x:f>IF(D16&lt;=MIN('Исходные кривые'!$B$17:$L$17),INDEX('Исходные кривые'!$B$18:$L$18,1,1),IF(D16&gt;=MAX('Исходные кривые'!$B$17:$L$17),INDEX('Исходные кривые'!$B$18:$L$18,1,COLUMNS('Исходные кривые'!$B$18:$L$18)),INDEX('Исходные кривые'!$B$18:$L$18,1,MATCH(D16,'Исходные кривые'!$B$17:$L$17,1))+(D16-INDEX('Исходные кривые'!$B$17:$L$17,1,MATCH(D16,'Исходные кривые'!$B$17:$L$17,1)))*(INDEX('Исходные кривые'!$B$18:$L$18,1,MATCH(D16,'Исходные кривые'!$B$17:$L$17,1)+1)-INDEX('Исходные кривые'!$B$18:$L$18,1,MATCH(D16,'Исходные кривые'!$B$17:$L$17,1)))/(INDEX('Исходные кривые'!$B$17:$L$17,1,MATCH(D16,'Исходные кривые'!$B$17:$L$17,1)+1)-INDEX('Исходные кривые'!$B$17:$L$17,1,MATCH(D16,'Исходные кривые'!$B$17:$L$17,1)))))</x:f>
        <x:v>6.257534246575343</x:v>
      </x:c>
      <x:c r="J16" s="31" t="n">
        <x:f>IF(D16&lt;=MIN('Исходные кривые'!$B$17:$L$17),INDEX('Исходные кривые'!$B$19:$L$19,1,1),IF(D16&gt;=MAX('Исходные кривые'!$B$17:$L$17),INDEX('Исходные кривые'!$B$19:$L$19,1,COLUMNS('Исходные кривые'!$B$19:$L$19)),INDEX('Исходные кривые'!$B$19:$L$19,1,MATCH(D16,'Исходные кривые'!$B$17:$L$17,1))+(D16-INDEX('Исходные кривые'!$B$17:$L$17,1,MATCH(D16,'Исходные кривые'!$B$17:$L$17,1)))*(INDEX('Исходные кривые'!$B$19:$L$19,1,MATCH(D16,'Исходные кривые'!$B$17:$L$17,1)+1)-INDEX('Исходные кривые'!$B$19:$L$19,1,MATCH(D16,'Исходные кривые'!$B$17:$L$17,1)))/(INDEX('Исходные кривые'!$B$17:$L$17,1,MATCH(D16,'Исходные кривые'!$B$17:$L$17,1)+1)-INDEX('Исходные кривые'!$B$17:$L$17,1,MATCH(D16,'Исходные кривые'!$B$17:$L$17,1)))))</x:f>
        <x:v>-3.194109589041096</x:v>
      </x:c>
    </x:row>
    <x:row r="17">
      <x:c r="A17" s="26" t="str">
        <x:v>Купонные даты</x:v>
      </x:c>
      <x:c r="B17" s="27" t="n">
        <x:v>47688</x:v>
      </x:c>
      <x:c r="C17" s="30" t="n">
        <x:f>B17-'Настройки'!$B$4</x:f>
        <x:v>1485</x:v>
      </x:c>
      <x:c r="D17" s="31" t="n">
        <x:f>C17/'Настройки'!$B$5</x:f>
        <x:v>4.068493150684931</x:v>
      </x:c>
      <x:c r="E17" s="31" t="n">
        <x:f>IF(D17&lt;=MIN('Исходные кривые'!$B$4:$L$4),INDEX('Исходные кривые'!$B$5:$L$5,1,1),IF(D17&gt;=MAX('Исходные кривые'!$B$4:$L$4),INDEX('Исходные кривые'!$B$5:$L$5,1,COLUMNS('Исходные кривые'!$B$5:$L$5)),INDEX('Исходные кривые'!$B$5:$L$5,1,MATCH(D17,'Исходные кривые'!$B$4:$L$4,1))+(D17-INDEX('Исходные кривые'!$B$4:$L$4,1,MATCH(D17,'Исходные кривые'!$B$4:$L$4,1)))*(INDEX('Исходные кривые'!$B$5:$L$5,1,MATCH(D17,'Исходные кривые'!$B$4:$L$4,1)+1)-INDEX('Исходные кривые'!$B$5:$L$5,1,MATCH(D17,'Исходные кривые'!$B$4:$L$4,1)))/(INDEX('Исходные кривые'!$B$4:$L$4,1,MATCH(D17,'Исходные кривые'!$B$4:$L$4,1)+1)-INDEX('Исходные кривые'!$B$4:$L$4,1,MATCH(D17,'Исходные кривые'!$B$4:$L$4,1)))))</x:f>
        <x:v>14.977534246575342</x:v>
      </x:c>
      <x:c r="F17" s="31" t="n">
        <x:f>IF(D17&lt;=MIN('Исходные кривые'!$B$8:$N$8),INDEX('Исходные кривые'!$B$9:$N$9,1,1),IF(D17&gt;=MAX('Исходные кривые'!$B$8:$N$8),INDEX('Исходные кривые'!$B$9:$N$9,1,COLUMNS('Исходные кривые'!$B$9:$N$9)),INDEX('Исходные кривые'!$B$9:$N$9,1,MATCH(D17,'Исходные кривые'!$B$8:$N$8,1))+(D17-INDEX('Исходные кривые'!$B$8:$N$8,1,MATCH(D17,'Исходные кривые'!$B$8:$N$8,1)))*(INDEX('Исходные кривые'!$B$9:$N$9,1,MATCH(D17,'Исходные кривые'!$B$8:$N$8,1)+1)-INDEX('Исходные кривые'!$B$9:$N$9,1,MATCH(D17,'Исходные кривые'!$B$8:$N$8,1)))/(INDEX('Исходные кривые'!$B$8:$N$8,1,MATCH(D17,'Исходные кривые'!$B$8:$N$8,1)+1)-INDEX('Исходные кривые'!$B$8:$N$8,1,MATCH(D17,'Исходные кривые'!$B$8:$N$8,1)))))</x:f>
        <x:v>16.977534246575342</x:v>
      </x:c>
      <x:c r="G17" s="31" t="n">
        <x:f>IF(D17&lt;=MIN('Исходные кривые'!$B$12:$K$12),INDEX('Исходные кривые'!$B$13:$K$13,1,1),IF(D17&gt;=MAX('Исходные кривые'!$B$12:$K$12),INDEX('Исходные кривые'!$B$13:$K$13,1,COLUMNS('Исходные кривые'!$B$13:$K$13)),INDEX('Исходные кривые'!$B$13:$K$13,1,MATCH(D17,'Исходные кривые'!$B$12:$K$12,1))+(D17-INDEX('Исходные кривые'!$B$12:$K$12,1,MATCH(D17,'Исходные кривые'!$B$12:$K$12,1)))*(INDEX('Исходные кривые'!$B$13:$K$13,1,MATCH(D17,'Исходные кривые'!$B$12:$K$12,1)+1)-INDEX('Исходные кривые'!$B$13:$K$13,1,MATCH(D17,'Исходные кривые'!$B$12:$K$12,1)))/(INDEX('Исходные кривые'!$B$12:$K$12,1,MATCH(D17,'Исходные кривые'!$B$12:$K$12,1)+1)-INDEX('Исходные кривые'!$B$12:$K$12,1,MATCH(D17,'Исходные кривые'!$B$12:$K$12,1)))))</x:f>
        <x:v>50.794520547945204</x:v>
      </x:c>
      <x:c r="H17" s="31" t="n">
        <x:f>IF(D17&lt;=MIN('Исходные кривые'!$B$12:$K$12),INDEX('Исходные кривые'!$B$14:$K$14,1,1),IF(D17&gt;=MAX('Исходные кривые'!$B$12:$K$12),INDEX('Исходные кривые'!$B$14:$K$14,1,COLUMNS('Исходные кривые'!$B$14:$K$14)),INDEX('Исходные кривые'!$B$14:$K$14,1,MATCH(D17,'Исходные кривые'!$B$12:$K$12,1))+(D17-INDEX('Исходные кривые'!$B$12:$K$12,1,MATCH(D17,'Исходные кривые'!$B$12:$K$12,1)))*(INDEX('Исходные кривые'!$B$14:$K$14,1,MATCH(D17,'Исходные кривые'!$B$12:$K$12,1)+1)-INDEX('Исходные кривые'!$B$14:$K$14,1,MATCH(D17,'Исходные кривые'!$B$12:$K$12,1)))/(INDEX('Исходные кривые'!$B$12:$K$12,1,MATCH(D17,'Исходные кривые'!$B$12:$K$12,1)+1)-INDEX('Исходные кривые'!$B$12:$K$12,1,MATCH(D17,'Исходные кривые'!$B$12:$K$12,1)))))</x:f>
        <x:v>-27.465753424657535</x:v>
      </x:c>
      <x:c r="I17" s="31" t="n">
        <x:f>IF(D17&lt;=MIN('Исходные кривые'!$B$17:$L$17),INDEX('Исходные кривые'!$B$18:$L$18,1,1),IF(D17&gt;=MAX('Исходные кривые'!$B$17:$L$17),INDEX('Исходные кривые'!$B$18:$L$18,1,COLUMNS('Исходные кривые'!$B$18:$L$18)),INDEX('Исходные кривые'!$B$18:$L$18,1,MATCH(D17,'Исходные кривые'!$B$17:$L$17,1))+(D17-INDEX('Исходные кривые'!$B$17:$L$17,1,MATCH(D17,'Исходные кривые'!$B$17:$L$17,1)))*(INDEX('Исходные кривые'!$B$18:$L$18,1,MATCH(D17,'Исходные кривые'!$B$17:$L$17,1)+1)-INDEX('Исходные кривые'!$B$18:$L$18,1,MATCH(D17,'Исходные кривые'!$B$17:$L$17,1)))/(INDEX('Исходные кривые'!$B$17:$L$17,1,MATCH(D17,'Исходные кривые'!$B$17:$L$17,1)+1)-INDEX('Исходные кривые'!$B$17:$L$17,1,MATCH(D17,'Исходные кривые'!$B$17:$L$17,1)))))</x:f>
        <x:v>6.098630136986301</x:v>
      </x:c>
      <x:c r="J17" s="31" t="n">
        <x:f>IF(D17&lt;=MIN('Исходные кривые'!$B$17:$L$17),INDEX('Исходные кривые'!$B$19:$L$19,1,1),IF(D17&gt;=MAX('Исходные кривые'!$B$17:$L$17),INDEX('Исходные кривые'!$B$19:$L$19,1,COLUMNS('Исходные кривые'!$B$19:$L$19)),INDEX('Исходные кривые'!$B$19:$L$19,1,MATCH(D17,'Исходные кривые'!$B$17:$L$17,1))+(D17-INDEX('Исходные кривые'!$B$17:$L$17,1,MATCH(D17,'Исходные кривые'!$B$17:$L$17,1)))*(INDEX('Исходные кривые'!$B$19:$L$19,1,MATCH(D17,'Исходные кривые'!$B$17:$L$17,1)+1)-INDEX('Исходные кривые'!$B$19:$L$19,1,MATCH(D17,'Исходные кривые'!$B$17:$L$17,1)))/(INDEX('Исходные кривые'!$B$17:$L$17,1,MATCH(D17,'Исходные кривые'!$B$17:$L$17,1)+1)-INDEX('Исходные кривые'!$B$17:$L$17,1,MATCH(D17,'Исходные кривые'!$B$17:$L$17,1)))))</x:f>
        <x:v>-2.7849315068493152</x:v>
      </x:c>
    </x:row>
    <x:row r="18">
      <x:c r="A18" s="26" t="str">
        <x:v>Купонные даты</x:v>
      </x:c>
      <x:c r="B18" s="27" t="n">
        <x:v>47870</x:v>
      </x:c>
      <x:c r="C18" s="30" t="n">
        <x:f>B18-'Настройки'!$B$4</x:f>
        <x:v>1667</x:v>
      </x:c>
      <x:c r="D18" s="31" t="n">
        <x:f>C18/'Настройки'!$B$5</x:f>
        <x:v>4.567123287671233</x:v>
      </x:c>
      <x:c r="E18" s="31" t="n">
        <x:f>IF(D18&lt;=MIN('Исходные кривые'!$B$4:$L$4),INDEX('Исходные кривые'!$B$5:$L$5,1,1),IF(D18&gt;=MAX('Исходные кривые'!$B$4:$L$4),INDEX('Исходные кривые'!$B$5:$L$5,1,COLUMNS('Исходные кривые'!$B$5:$L$5)),INDEX('Исходные кривые'!$B$5:$L$5,1,MATCH(D18,'Исходные кривые'!$B$4:$L$4,1))+(D18-INDEX('Исходные кривые'!$B$4:$L$4,1,MATCH(D18,'Исходные кривые'!$B$4:$L$4,1)))*(INDEX('Исходные кривые'!$B$5:$L$5,1,MATCH(D18,'Исходные кривые'!$B$4:$L$4,1)+1)-INDEX('Исходные кривые'!$B$5:$L$5,1,MATCH(D18,'Исходные кривые'!$B$4:$L$4,1)))/(INDEX('Исходные кривые'!$B$4:$L$4,1,MATCH(D18,'Исходные кривые'!$B$4:$L$4,1)+1)-INDEX('Исходные кривые'!$B$4:$L$4,1,MATCH(D18,'Исходные кривые'!$B$4:$L$4,1)))))</x:f>
        <x:v>15.214383561643835</x:v>
      </x:c>
      <x:c r="F18" s="31" t="n">
        <x:f>IF(D18&lt;=MIN('Исходные кривые'!$B$8:$N$8),INDEX('Исходные кривые'!$B$9:$N$9,1,1),IF(D18&gt;=MAX('Исходные кривые'!$B$8:$N$8),INDEX('Исходные кривые'!$B$9:$N$9,1,COLUMNS('Исходные кривые'!$B$9:$N$9)),INDEX('Исходные кривые'!$B$9:$N$9,1,MATCH(D18,'Исходные кривые'!$B$8:$N$8,1))+(D18-INDEX('Исходные кривые'!$B$8:$N$8,1,MATCH(D18,'Исходные кривые'!$B$8:$N$8,1)))*(INDEX('Исходные кривые'!$B$9:$N$9,1,MATCH(D18,'Исходные кривые'!$B$8:$N$8,1)+1)-INDEX('Исходные кривые'!$B$9:$N$9,1,MATCH(D18,'Исходные кривые'!$B$8:$N$8,1)))/(INDEX('Исходные кривые'!$B$8:$N$8,1,MATCH(D18,'Исходные кривые'!$B$8:$N$8,1)+1)-INDEX('Исходные кривые'!$B$8:$N$8,1,MATCH(D18,'Исходные кривые'!$B$8:$N$8,1)))))</x:f>
        <x:v>17.214383561643835</x:v>
      </x:c>
      <x:c r="G18" s="31" t="n">
        <x:f>IF(D18&lt;=MIN('Исходные кривые'!$B$12:$K$12),INDEX('Исходные кривые'!$B$13:$K$13,1,1),IF(D18&gt;=MAX('Исходные кривые'!$B$12:$K$12),INDEX('Исходные кривые'!$B$13:$K$13,1,COLUMNS('Исходные кривые'!$B$13:$K$13)),INDEX('Исходные кривые'!$B$13:$K$13,1,MATCH(D18,'Исходные кривые'!$B$12:$K$12,1))+(D18-INDEX('Исходные кривые'!$B$12:$K$12,1,MATCH(D18,'Исходные кривые'!$B$12:$K$12,1)))*(INDEX('Исходные кривые'!$B$13:$K$13,1,MATCH(D18,'Исходные кривые'!$B$12:$K$12,1)+1)-INDEX('Исходные кривые'!$B$13:$K$13,1,MATCH(D18,'Исходные кривые'!$B$12:$K$12,1)))/(INDEX('Исходные кривые'!$B$12:$K$12,1,MATCH(D18,'Исходные кривые'!$B$12:$K$12,1)+1)-INDEX('Исходные кривые'!$B$12:$K$12,1,MATCH(D18,'Исходные кривые'!$B$12:$K$12,1)))))</x:f>
        <x:v>49.298630136986304</x:v>
      </x:c>
      <x:c r="H18" s="31" t="n">
        <x:f>IF(D18&lt;=MIN('Исходные кривые'!$B$12:$K$12),INDEX('Исходные кривые'!$B$14:$K$14,1,1),IF(D18&gt;=MAX('Исходные кривые'!$B$12:$K$12),INDEX('Исходные кривые'!$B$14:$K$14,1,COLUMNS('Исходные кривые'!$B$14:$K$14)),INDEX('Исходные кривые'!$B$14:$K$14,1,MATCH(D18,'Исходные кривые'!$B$12:$K$12,1))+(D18-INDEX('Исходные кривые'!$B$12:$K$12,1,MATCH(D18,'Исходные кривые'!$B$12:$K$12,1)))*(INDEX('Исходные кривые'!$B$14:$K$14,1,MATCH(D18,'Исходные кривые'!$B$12:$K$12,1)+1)-INDEX('Исходные кривые'!$B$14:$K$14,1,MATCH(D18,'Исходные кривые'!$B$12:$K$12,1)))/(INDEX('Исходные кривые'!$B$12:$K$12,1,MATCH(D18,'Исходные кривые'!$B$12:$K$12,1)+1)-INDEX('Исходные кривые'!$B$12:$K$12,1,MATCH(D18,'Исходные кривые'!$B$12:$K$12,1)))))</x:f>
        <x:v>-27.21643835616438</x:v>
      </x:c>
      <x:c r="I18" s="31" t="n">
        <x:f>IF(D18&lt;=MIN('Исходные кривые'!$B$17:$L$17),INDEX('Исходные кривые'!$B$18:$L$18,1,1),IF(D18&gt;=MAX('Исходные кривые'!$B$17:$L$17),INDEX('Исходные кривые'!$B$18:$L$18,1,COLUMNS('Исходные кривые'!$B$18:$L$18)),INDEX('Исходные кривые'!$B$18:$L$18,1,MATCH(D18,'Исходные кривые'!$B$17:$L$17,1))+(D18-INDEX('Исходные кривые'!$B$17:$L$17,1,MATCH(D18,'Исходные кривые'!$B$17:$L$17,1)))*(INDEX('Исходные кривые'!$B$18:$L$18,1,MATCH(D18,'Исходные кривые'!$B$17:$L$17,1)+1)-INDEX('Исходные кривые'!$B$18:$L$18,1,MATCH(D18,'Исходные кривые'!$B$17:$L$17,1)))/(INDEX('Исходные кривые'!$B$17:$L$17,1,MATCH(D18,'Исходные кривые'!$B$17:$L$17,1)+1)-INDEX('Исходные кривые'!$B$17:$L$17,1,MATCH(D18,'Исходные кривые'!$B$17:$L$17,1)))))</x:f>
        <x:v>5.7246575342465755</x:v>
      </x:c>
      <x:c r="J18" s="31" t="n">
        <x:f>IF(D18&lt;=MIN('Исходные кривые'!$B$17:$L$17),INDEX('Исходные кривые'!$B$19:$L$19,1,1),IF(D18&gt;=MAX('Исходные кривые'!$B$17:$L$17),INDEX('Исходные кривые'!$B$19:$L$19,1,COLUMNS('Исходные кривые'!$B$19:$L$19)),INDEX('Исходные кривые'!$B$19:$L$19,1,MATCH(D18,'Исходные кривые'!$B$17:$L$17,1))+(D18-INDEX('Исходные кривые'!$B$17:$L$17,1,MATCH(D18,'Исходные кривые'!$B$17:$L$17,1)))*(INDEX('Исходные кривые'!$B$19:$L$19,1,MATCH(D18,'Исходные кривые'!$B$17:$L$17,1)+1)-INDEX('Исходные кривые'!$B$19:$L$19,1,MATCH(D18,'Исходные кривые'!$B$17:$L$17,1)))/(INDEX('Исходные кривые'!$B$17:$L$17,1,MATCH(D18,'Исходные кривые'!$B$17:$L$17,1)+1)-INDEX('Исходные кривые'!$B$17:$L$17,1,MATCH(D18,'Исходные кривые'!$B$17:$L$17,1)))))</x:f>
        <x:v>-2.3112328767123285</x:v>
      </x:c>
    </x:row>
    <x:row r="19">
      <x:c r="A19" s="26" t="str">
        <x:v>Купон — 23.07.2031</x:v>
      </x:c>
      <x:c r="B19" s="27" t="n">
        <x:v>48052</x:v>
      </x:c>
      <x:c r="C19" s="30" t="n">
        <x:f>B19-'Настройки'!$B$4</x:f>
        <x:v>1849</x:v>
      </x:c>
      <x:c r="D19" s="31" t="n">
        <x:f>C19/'Настройки'!$B$5</x:f>
        <x:v>5.065753424657534</x:v>
      </x:c>
      <x:c r="E19" s="31" t="n">
        <x:f>IF(D19&lt;=MIN('Исходные кривые'!$B$4:$L$4),INDEX('Исходные кривые'!$B$5:$L$5,1,1),IF(D19&gt;=MAX('Исходные кривые'!$B$4:$L$4),INDEX('Исходные кривые'!$B$5:$L$5,1,COLUMNS('Исходные кривые'!$B$5:$L$5)),INDEX('Исходные кривые'!$B$5:$L$5,1,MATCH(D19,'Исходные кривые'!$B$4:$L$4,1))+(D19-INDEX('Исходные кривые'!$B$4:$L$4,1,MATCH(D19,'Исходные кривые'!$B$4:$L$4,1)))*(INDEX('Исходные кривые'!$B$5:$L$5,1,MATCH(D19,'Исходные кривые'!$B$4:$L$4,1)+1)-INDEX('Исходные кривые'!$B$5:$L$5,1,MATCH(D19,'Исходные кривые'!$B$4:$L$4,1)))/(INDEX('Исходные кривые'!$B$4:$L$4,1,MATCH(D19,'Исходные кривые'!$B$4:$L$4,1)+1)-INDEX('Исходные кривые'!$B$4:$L$4,1,MATCH(D19,'Исходные кривые'!$B$4:$L$4,1)))))</x:f>
        <x:v>15.43841095890411</x:v>
      </x:c>
      <x:c r="F19" s="31" t="n">
        <x:f>IF(D19&lt;=MIN('Исходные кривые'!$B$8:$N$8),INDEX('Исходные кривые'!$B$9:$N$9,1,1),IF(D19&gt;=MAX('Исходные кривые'!$B$8:$N$8),INDEX('Исходные кривые'!$B$9:$N$9,1,COLUMNS('Исходные кривые'!$B$9:$N$9)),INDEX('Исходные кривые'!$B$9:$N$9,1,MATCH(D19,'Исходные кривые'!$B$8:$N$8,1))+(D19-INDEX('Исходные кривые'!$B$8:$N$8,1,MATCH(D19,'Исходные кривые'!$B$8:$N$8,1)))*(INDEX('Исходные кривые'!$B$9:$N$9,1,MATCH(D19,'Исходные кривые'!$B$8:$N$8,1)+1)-INDEX('Исходные кривые'!$B$9:$N$9,1,MATCH(D19,'Исходные кривые'!$B$8:$N$8,1)))/(INDEX('Исходные кривые'!$B$8:$N$8,1,MATCH(D19,'Исходные кривые'!$B$8:$N$8,1)+1)-INDEX('Исходные кривые'!$B$8:$N$8,1,MATCH(D19,'Исходные кривые'!$B$8:$N$8,1)))))</x:f>
        <x:v>17.43841095890411</x:v>
      </x:c>
      <x:c r="G19" s="31" t="n">
        <x:f>IF(D19&lt;=MIN('Исходные кривые'!$B$12:$K$12),INDEX('Исходные кривые'!$B$13:$K$13,1,1),IF(D19&gt;=MAX('Исходные кривые'!$B$12:$K$12),INDEX('Исходные кривые'!$B$13:$K$13,1,COLUMNS('Исходные кривые'!$B$13:$K$13)),INDEX('Исходные кривые'!$B$13:$K$13,1,MATCH(D19,'Исходные кривые'!$B$12:$K$12,1))+(D19-INDEX('Исходные кривые'!$B$12:$K$12,1,MATCH(D19,'Исходные кривые'!$B$12:$K$12,1)))*(INDEX('Исходные кривые'!$B$13:$K$13,1,MATCH(D19,'Исходные кривые'!$B$12:$K$12,1)+1)-INDEX('Исходные кривые'!$B$13:$K$13,1,MATCH(D19,'Исходные кривые'!$B$12:$K$12,1)))/(INDEX('Исходные кривые'!$B$12:$K$12,1,MATCH(D19,'Исходные кривые'!$B$12:$K$12,1)+1)-INDEX('Исходные кривые'!$B$12:$K$12,1,MATCH(D19,'Исходные кривые'!$B$12:$K$12,1)))))</x:f>
        <x:v>47.8027397260274</x:v>
      </x:c>
      <x:c r="H19" s="31" t="n">
        <x:f>IF(D19&lt;=MIN('Исходные кривые'!$B$12:$K$12),INDEX('Исходные кривые'!$B$14:$K$14,1,1),IF(D19&gt;=MAX('Исходные кривые'!$B$12:$K$12),INDEX('Исходные кривые'!$B$14:$K$14,1,COLUMNS('Исходные кривые'!$B$14:$K$14)),INDEX('Исходные кривые'!$B$14:$K$14,1,MATCH(D19,'Исходные кривые'!$B$12:$K$12,1))+(D19-INDEX('Исходные кривые'!$B$12:$K$12,1,MATCH(D19,'Исходные кривые'!$B$12:$K$12,1)))*(INDEX('Исходные кривые'!$B$14:$K$14,1,MATCH(D19,'Исходные кривые'!$B$12:$K$12,1)+1)-INDEX('Исходные кривые'!$B$14:$K$14,1,MATCH(D19,'Исходные кривые'!$B$12:$K$12,1)))/(INDEX('Исходные кривые'!$B$12:$K$12,1,MATCH(D19,'Исходные кривые'!$B$12:$K$12,1)+1)-INDEX('Исходные кривые'!$B$12:$K$12,1,MATCH(D19,'Исходные кривые'!$B$12:$K$12,1)))))</x:f>
        <x:v>-26.96712328767123</x:v>
      </x:c>
      <x:c r="I19" s="31" t="n">
        <x:f>IF(D19&lt;=MIN('Исходные кривые'!$B$17:$L$17),INDEX('Исходные кривые'!$B$18:$L$18,1,1),IF(D19&gt;=MAX('Исходные кривые'!$B$17:$L$17),INDEX('Исходные кривые'!$B$18:$L$18,1,COLUMNS('Исходные кривые'!$B$18:$L$18)),INDEX('Исходные кривые'!$B$18:$L$18,1,MATCH(D19,'Исходные кривые'!$B$17:$L$17,1))+(D19-INDEX('Исходные кривые'!$B$17:$L$17,1,MATCH(D19,'Исходные кривые'!$B$17:$L$17,1)))*(INDEX('Исходные кривые'!$B$18:$L$18,1,MATCH(D19,'Исходные кривые'!$B$17:$L$17,1)+1)-INDEX('Исходные кривые'!$B$18:$L$18,1,MATCH(D19,'Исходные кривые'!$B$17:$L$17,1)))/(INDEX('Исходные кривые'!$B$17:$L$17,1,MATCH(D19,'Исходные кривые'!$B$17:$L$17,1)+1)-INDEX('Исходные кривые'!$B$17:$L$17,1,MATCH(D19,'Исходные кривые'!$B$17:$L$17,1)))))</x:f>
        <x:v>5.4</x:v>
      </x:c>
      <x:c r="J19" s="31" t="n">
        <x:f>IF(D19&lt;=MIN('Исходные кривые'!$B$17:$L$17),INDEX('Исходные кривые'!$B$19:$L$19,1,1),IF(D19&gt;=MAX('Исходные кривые'!$B$17:$L$17),INDEX('Исходные кривые'!$B$19:$L$19,1,COLUMNS('Исходные кривые'!$B$19:$L$19)),INDEX('Исходные кривые'!$B$19:$L$19,1,MATCH(D19,'Исходные кривые'!$B$17:$L$17,1))+(D19-INDEX('Исходные кривые'!$B$17:$L$17,1,MATCH(D19,'Исходные кривые'!$B$17:$L$17,1)))*(INDEX('Исходные кривые'!$B$19:$L$19,1,MATCH(D19,'Исходные кривые'!$B$17:$L$17,1)+1)-INDEX('Исходные кривые'!$B$19:$L$19,1,MATCH(D19,'Исходные кривые'!$B$17:$L$17,1)))/(INDEX('Исходные кривые'!$B$17:$L$17,1,MATCH(D19,'Исходные кривые'!$B$17:$L$17,1)+1)-INDEX('Исходные кривые'!$B$17:$L$17,1,MATCH(D19,'Исходные кривые'!$B$17:$L$17,1)))))</x:f>
        <x:v>-1.9</x:v>
      </x:c>
    </x:row>
    <x:row r="20">
      <x:c r="A20" s="26" t="str">
        <x:v>Номинал — 23.07.2031</x:v>
      </x:c>
      <x:c r="B20" s="27" t="n">
        <x:v>48052</x:v>
      </x:c>
      <x:c r="C20" s="30" t="n">
        <x:f>B20-'Настройки'!$B$4</x:f>
        <x:v>1849</x:v>
      </x:c>
      <x:c r="D20" s="31" t="n">
        <x:f>C20/'Настройки'!$B$5</x:f>
        <x:v>5.065753424657534</x:v>
      </x:c>
      <x:c r="E20" s="31" t="n">
        <x:f>IF(D20&lt;=MIN('Исходные кривые'!$B$4:$L$4),INDEX('Исходные кривые'!$B$5:$L$5,1,1),IF(D20&gt;=MAX('Исходные кривые'!$B$4:$L$4),INDEX('Исходные кривые'!$B$5:$L$5,1,COLUMNS('Исходные кривые'!$B$5:$L$5)),INDEX('Исходные кривые'!$B$5:$L$5,1,MATCH(D20,'Исходные кривые'!$B$4:$L$4,1))+(D20-INDEX('Исходные кривые'!$B$4:$L$4,1,MATCH(D20,'Исходные кривые'!$B$4:$L$4,1)))*(INDEX('Исходные кривые'!$B$5:$L$5,1,MATCH(D20,'Исходные кривые'!$B$4:$L$4,1)+1)-INDEX('Исходные кривые'!$B$5:$L$5,1,MATCH(D20,'Исходные кривые'!$B$4:$L$4,1)))/(INDEX('Исходные кривые'!$B$4:$L$4,1,MATCH(D20,'Исходные кривые'!$B$4:$L$4,1)+1)-INDEX('Исходные кривые'!$B$4:$L$4,1,MATCH(D20,'Исходные кривые'!$B$4:$L$4,1)))))</x:f>
        <x:v>15.43841095890411</x:v>
      </x:c>
      <x:c r="F20" s="31" t="n">
        <x:f>IF(D20&lt;=MIN('Исходные кривые'!$B$8:$N$8),INDEX('Исходные кривые'!$B$9:$N$9,1,1),IF(D20&gt;=MAX('Исходные кривые'!$B$8:$N$8),INDEX('Исходные кривые'!$B$9:$N$9,1,COLUMNS('Исходные кривые'!$B$9:$N$9)),INDEX('Исходные кривые'!$B$9:$N$9,1,MATCH(D20,'Исходные кривые'!$B$8:$N$8,1))+(D20-INDEX('Исходные кривые'!$B$8:$N$8,1,MATCH(D20,'Исходные кривые'!$B$8:$N$8,1)))*(INDEX('Исходные кривые'!$B$9:$N$9,1,MATCH(D20,'Исходные кривые'!$B$8:$N$8,1)+1)-INDEX('Исходные кривые'!$B$9:$N$9,1,MATCH(D20,'Исходные кривые'!$B$8:$N$8,1)))/(INDEX('Исходные кривые'!$B$8:$N$8,1,MATCH(D20,'Исходные кривые'!$B$8:$N$8,1)+1)-INDEX('Исходные кривые'!$B$8:$N$8,1,MATCH(D20,'Исходные кривые'!$B$8:$N$8,1)))))</x:f>
        <x:v>17.43841095890411</x:v>
      </x:c>
      <x:c r="G20" s="31" t="n">
        <x:f>IF(D20&lt;=MIN('Исходные кривые'!$B$12:$K$12),INDEX('Исходные кривые'!$B$13:$K$13,1,1),IF(D20&gt;=MAX('Исходные кривые'!$B$12:$K$12),INDEX('Исходные кривые'!$B$13:$K$13,1,COLUMNS('Исходные кривые'!$B$13:$K$13)),INDEX('Исходные кривые'!$B$13:$K$13,1,MATCH(D20,'Исходные кривые'!$B$12:$K$12,1))+(D20-INDEX('Исходные кривые'!$B$12:$K$12,1,MATCH(D20,'Исходные кривые'!$B$12:$K$12,1)))*(INDEX('Исходные кривые'!$B$13:$K$13,1,MATCH(D20,'Исходные кривые'!$B$12:$K$12,1)+1)-INDEX('Исходные кривые'!$B$13:$K$13,1,MATCH(D20,'Исходные кривые'!$B$12:$K$12,1)))/(INDEX('Исходные кривые'!$B$12:$K$12,1,MATCH(D20,'Исходные кривые'!$B$12:$K$12,1)+1)-INDEX('Исходные кривые'!$B$12:$K$12,1,MATCH(D20,'Исходные кривые'!$B$12:$K$12,1)))))</x:f>
        <x:v>47.8027397260274</x:v>
      </x:c>
      <x:c r="H20" s="31" t="n">
        <x:f>IF(D20&lt;=MIN('Исходные кривые'!$B$12:$K$12),INDEX('Исходные кривые'!$B$14:$K$14,1,1),IF(D20&gt;=MAX('Исходные кривые'!$B$12:$K$12),INDEX('Исходные кривые'!$B$14:$K$14,1,COLUMNS('Исходные кривые'!$B$14:$K$14)),INDEX('Исходные кривые'!$B$14:$K$14,1,MATCH(D20,'Исходные кривые'!$B$12:$K$12,1))+(D20-INDEX('Исходные кривые'!$B$12:$K$12,1,MATCH(D20,'Исходные кривые'!$B$12:$K$12,1)))*(INDEX('Исходные кривые'!$B$14:$K$14,1,MATCH(D20,'Исходные кривые'!$B$12:$K$12,1)+1)-INDEX('Исходные кривые'!$B$14:$K$14,1,MATCH(D20,'Исходные кривые'!$B$12:$K$12,1)))/(INDEX('Исходные кривые'!$B$12:$K$12,1,MATCH(D20,'Исходные кривые'!$B$12:$K$12,1)+1)-INDEX('Исходные кривые'!$B$12:$K$12,1,MATCH(D20,'Исходные кривые'!$B$12:$K$12,1)))))</x:f>
        <x:v>-26.96712328767123</x:v>
      </x:c>
      <x:c r="I20" s="31" t="n">
        <x:f>IF(D20&lt;=MIN('Исходные кривые'!$B$17:$L$17),INDEX('Исходные кривые'!$B$18:$L$18,1,1),IF(D20&gt;=MAX('Исходные кривые'!$B$17:$L$17),INDEX('Исходные кривые'!$B$18:$L$18,1,COLUMNS('Исходные кривые'!$B$18:$L$18)),INDEX('Исходные кривые'!$B$18:$L$18,1,MATCH(D20,'Исходные кривые'!$B$17:$L$17,1))+(D20-INDEX('Исходные кривые'!$B$17:$L$17,1,MATCH(D20,'Исходные кривые'!$B$17:$L$17,1)))*(INDEX('Исходные кривые'!$B$18:$L$18,1,MATCH(D20,'Исходные кривые'!$B$17:$L$17,1)+1)-INDEX('Исходные кривые'!$B$18:$L$18,1,MATCH(D20,'Исходные кривые'!$B$17:$L$17,1)))/(INDEX('Исходные кривые'!$B$17:$L$17,1,MATCH(D20,'Исходные кривые'!$B$17:$L$17,1)+1)-INDEX('Исходные кривые'!$B$17:$L$17,1,MATCH(D20,'Исходные кривые'!$B$17:$L$17,1)))))</x:f>
        <x:v>5.4</x:v>
      </x:c>
      <x:c r="J20" s="31" t="n">
        <x:f>IF(D20&lt;=MIN('Исходные кривые'!$B$17:$L$17),INDEX('Исходные кривые'!$B$19:$L$19,1,1),IF(D20&gt;=MAX('Исходные кривые'!$B$17:$L$17),INDEX('Исходные кривые'!$B$19:$L$19,1,COLUMNS('Исходные кривые'!$B$19:$L$19)),INDEX('Исходные кривые'!$B$19:$L$19,1,MATCH(D20,'Исходные кривые'!$B$17:$L$17,1))+(D20-INDEX('Исходные кривые'!$B$17:$L$17,1,MATCH(D20,'Исходные кривые'!$B$17:$L$17,1)))*(INDEX('Исходные кривые'!$B$19:$L$19,1,MATCH(D20,'Исходные кривые'!$B$17:$L$17,1)+1)-INDEX('Исходные кривые'!$B$19:$L$19,1,MATCH(D20,'Исходные кривые'!$B$17:$L$17,1)))/(INDEX('Исходные кривые'!$B$17:$L$17,1,MATCH(D20,'Исходные кривые'!$B$17:$L$17,1)+1)-INDEX('Исходные кривые'!$B$17:$L$17,1,MATCH(D20,'Исходные кривые'!$B$17:$L$17,1)))))</x:f>
        <x:v>-1.9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</x:cols>
  <x:sheetData>
    <x:row r="1" ht="28" customHeight="1">
      <x:c r="A1" s="3" t="str">
        <x:v>Контроль расчёта</x:v>
      </x:c>
      <x:c r="B1" s="3" t="str">
        <x:v>Контроль расчёта</x:v>
      </x:c>
      <x:c r="C1" s="3" t="str">
        <x:v>Контроль расчёта</x:v>
      </x:c>
      <x:c r="D1" s="3" t="str">
        <x:v>Контроль расчёта</x:v>
      </x:c>
      <x:c r="E1" s="3" t="str">
        <x:v>Контроль расчёта</x:v>
      </x:c>
      <x:c r="F1" s="3" t="str">
        <x:v>Контроль расчёта</x:v>
      </x:c>
      <x:c r="G1" s="3" t="str">
        <x:v>Контроль расчёта</x:v>
      </x:c>
    </x:row>
    <x:row r="3">
      <x:c r="A3" s="8" t="str">
        <x:v>Проверка</x:v>
      </x:c>
      <x:c r="B3" s="8" t="str">
        <x:v>Ячейка</x:v>
      </x:c>
      <x:c r="C3" s="8" t="str">
        <x:v>Расчёт</x:v>
      </x:c>
      <x:c r="D3" s="8" t="str">
        <x:v>Ожидается</x:v>
      </x:c>
      <x:c r="E3" s="8" t="str">
        <x:v>Разница</x:v>
      </x:c>
      <x:c r="F3" s="8" t="str">
        <x:v>Допуск</x:v>
      </x:c>
      <x:c r="G3" s="8" t="str">
        <x:v>Статус</x:v>
      </x:c>
    </x:row>
    <x:row r="4">
      <x:c r="A4" s="9" t="str">
        <x:v>КБД на 1 год</x:v>
      </x:c>
      <x:c r="B4" s="9" t="str">
        <x:v>Результаты!E5</x:v>
      </x:c>
      <x:c r="C4" s="31" t="n">
        <x:f>'Результаты'!E5</x:f>
        <x:v>13.41</x:v>
      </x:c>
      <x:c r="D4" s="29" t="n">
        <x:v>13.41</x:v>
      </x:c>
      <x:c r="E4" s="29" t="n">
        <x:f>C4-D4</x:f>
        <x:v>0</x:v>
      </x:c>
      <x:c r="F4" s="29" t="n">
        <x:v>0.0001</x:v>
      </x:c>
      <x:c r="G4" s="9" t="str">
        <x:f>IF(ABS(E4)&lt;=F4,"OK","ПРОВЕРИТЬ")</x:f>
        <x:v>OK</x:v>
      </x:c>
    </x:row>
    <x:row r="5">
      <x:c r="A5" s="9" t="str">
        <x:v>Сценарная кривая на 4 года</x:v>
      </x:c>
      <x:c r="B5" s="9" t="str">
        <x:v>Результаты!F8</x:v>
      </x:c>
      <x:c r="C5" s="31" t="n">
        <x:f>'Результаты'!F8</x:f>
        <x:v>16.946301369863015</x:v>
      </x:c>
      <x:c r="D5" s="29" t="n">
        <x:v>16.94630137</x:v>
      </x:c>
      <x:c r="E5" s="29" t="n">
        <x:f>C5-D5</x:f>
        <x:v>-1.3698553402718971e-10</x:v>
      </x:c>
      <x:c r="F5" s="29" t="n">
        <x:v>0.0001</x:v>
      </x:c>
      <x:c r="G5" s="9" t="str">
        <x:f>IF(ABS(E5)&lt;=F5,"OK","ПРОВЕРИТЬ")</x:f>
        <x:v>OK</x:v>
      </x:c>
    </x:row>
    <x:row r="6">
      <x:c r="A6" s="9" t="str">
        <x:v>ЦБ shock up на 4 года</x:v>
      </x:c>
      <x:c r="B6" s="9" t="str">
        <x:v>Результаты!G8</x:v>
      </x:c>
      <x:c r="C6" s="31" t="n">
        <x:f>'Результаты'!G8</x:f>
        <x:v>50.99178082191781</x:v>
      </x:c>
      <x:c r="D6" s="29" t="n">
        <x:v>50.99178082</x:v>
      </x:c>
      <x:c r="E6" s="29" t="n">
        <x:f>C6-D6</x:f>
        <x:v>1.9178045818080136e-9</x:v>
      </x:c>
      <x:c r="F6" s="29" t="n">
        <x:v>0.0001</x:v>
      </x:c>
      <x:c r="G6" s="9" t="str">
        <x:f>IF(ABS(E6)&lt;=F6,"OK","ПРОВЕРИТЬ")</x:f>
        <x:v>OK</x:v>
      </x:c>
    </x:row>
    <x:row r="7">
      <x:c r="A7" s="9" t="str">
        <x:v>ЦБ shock down на 4 года</x:v>
      </x:c>
      <x:c r="B7" s="9" t="str">
        <x:v>Результаты!H8</x:v>
      </x:c>
      <x:c r="C7" s="31" t="n">
        <x:f>'Результаты'!H8</x:f>
        <x:v>-27.4986301369863</x:v>
      </x:c>
      <x:c r="D7" s="29" t="n">
        <x:v>-27.49863014</x:v>
      </x:c>
      <x:c r="E7" s="29" t="n">
        <x:f>C7-D7</x:f>
        <x:v>3.0136995121665677e-9</x:v>
      </x:c>
      <x:c r="F7" s="29" t="n">
        <x:v>0.0001</x:v>
      </x:c>
      <x:c r="G7" s="9" t="str">
        <x:f>IF(ABS(E7)&lt;=F7,"OK","ПРОВЕРИТЬ")</x:f>
        <x:v>OK</x:v>
      </x:c>
    </x:row>
    <x:row r="8">
      <x:c r="A8" s="9" t="str">
        <x:v>RUB вверх на 1 год</x:v>
      </x:c>
      <x:c r="B8" s="9" t="str">
        <x:v>Результаты!I5</x:v>
      </x:c>
      <x:c r="C8" s="31" t="n">
        <x:f>'Результаты'!I5</x:f>
        <x:v>6</x:v>
      </x:c>
      <x:c r="D8" s="29" t="n">
        <x:v>6</x:v>
      </x:c>
      <x:c r="E8" s="29" t="n">
        <x:f>C8-D8</x:f>
        <x:v>0</x:v>
      </x:c>
      <x:c r="F8" s="29" t="n">
        <x:v>0.0001</x:v>
      </x:c>
      <x:c r="G8" s="9" t="str">
        <x:f>IF(ABS(E8)&lt;=F8,"OK","ПРОВЕРИТЬ")</x:f>
        <x:v>OK</x:v>
      </x:c>
    </x:row>
    <x:row r="9">
      <x:c r="A9" s="9" t="str">
        <x:v>RUB вниз на 1 год</x:v>
      </x:c>
      <x:c r="B9" s="9" t="str">
        <x:v>Результаты!J5</x:v>
      </x:c>
      <x:c r="C9" s="31" t="n">
        <x:f>'Результаты'!J5</x:f>
        <x:v>-5</x:v>
      </x:c>
      <x:c r="D9" s="29" t="n">
        <x:v>-5</x:v>
      </x:c>
      <x:c r="E9" s="29" t="n">
        <x:f>C9-D9</x:f>
        <x:v>0</x:v>
      </x:c>
      <x:c r="F9" s="29" t="n">
        <x:v>0.0001</x:v>
      </x:c>
      <x:c r="G9" s="9" t="str">
        <x:f>IF(ABS(E9)&lt;=F9,"OK","ПРОВЕРИТЬ")</x:f>
        <x:v>OK</x:v>
      </x:c>
    </x:row>
    <x:row r="11">
      <x:c r="A11" s="9" t="str">
        <x:v>Итоговый статус</x:v>
      </x:c>
      <x:c r="B11" s="9"/>
      <x:c r="C11" s="9"/>
      <x:c r="D11" s="9"/>
      <x:c r="E11" s="9"/>
      <x:c r="F11" s="9"/>
      <x:c r="G11" s="9" t="str">
        <x:f>IF(COUNTIF(G4:G9,"ПРОВЕРИТЬ")=0,"OK","ПРОВЕРИТЬ")</x:f>
        <x:v>OK</x:v>
      </x:c>
    </x:row>
  </x:sheetData>
  <x:mergeCells>
    <x:mergeCell ref="A1:G1"/>
    <x:mergeCell ref="A11:F11"/>
  </x:mergeCells>
  <x:conditionalFormatting sqref="G4:G11">
    <x:cfRule type="containsText" dxfId="0" priority="1" operator="containsText" text="OK"/>
    <x:cfRule type="containsText" dxfId="1" priority="2" operator="containsText" text="ПРОВЕРИТЬ"/>
  </x:conditionalFormatting>
  <x:pageMargins left="0.7" right="0.7" top="0.75" bottom="0.75" header="0.3" footer="0.3"/>
</x:worksheet>
</file>