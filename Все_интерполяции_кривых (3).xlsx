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cf1a2ecb8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386d9a4b264f4ef4"/>
    <x:sheet xmlns:r="http://schemas.openxmlformats.org/officeDocument/2006/relationships" name="Исходные кривые" sheetId="2" r:id="R7bdc722dc7d34573"/>
    <x:sheet xmlns:r="http://schemas.openxmlformats.org/officeDocument/2006/relationships" name="Результаты" sheetId="3" r:id="Rf9e9f0e114b248ed"/>
    <x:sheet xmlns:r="http://schemas.openxmlformats.org/officeDocument/2006/relationships" name="Проверки" sheetId="4" r:id="Rdc80b1e3ba3440ce"/>
    <x:sheet xmlns:r="http://schemas.openxmlformats.org/officeDocument/2006/relationships" name="Свопы" sheetId="5" r:id="R8871cb47b4ab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.00"/>
    <x:numFmt numFmtId="202" formatCode="0"/>
    <x:numFmt numFmtId="203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F4E78"/>
      <x:name val="Carlito"/>
    </x:font>
    <x:font>
      <x:sz val="11"/>
      <x:color rgb="FF008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6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medium">
        <x:color rgb="FF1F4E78"/>
      </x:top>
      <x:bottom style="thin">
        <x:color rgb="FFB4C6D7"/>
      </x:bottom>
    </x:border>
    <x:border>
      <x:left style="thin">
        <x:color rgb="FFB4C6D7"/>
      </x:left>
      <x:top style="medium">
        <x:color rgb="FF1F4E78"/>
      </x:top>
      <x:bottom style="thin">
        <x:color rgb="FFB4C6D7"/>
      </x:bottom>
    </x:border>
    <x:border>
      <x:top style="medium">
        <x:color rgb="FF1F4E78"/>
      </x:top>
      <x:bottom style="thin">
        <x:color rgb="FFB4C6D7"/>
      </x:bottom>
    </x:border>
    <x:border>
      <x:right style="thin">
        <x:color rgb="FFB4C6D7"/>
      </x:right>
      <x:top style="medium">
        <x:color rgb="FF1F4E78"/>
      </x:top>
      <x:bottom style="thin">
        <x:color rgb="FFB4C6D7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1" fontId="4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202" fontId="5" fillId="5" borderId="1" xfId="0" applyNumberFormat="1" applyFont="1" applyFill="1" applyBorder="1"/>
    <x:xf numFmtId="203" fontId="5" fillId="5" borderId="1" xfId="0" applyNumberFormat="1" applyFont="1" applyFill="1" applyBorder="1"/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5" fillId="0" borderId="1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0" fillId="6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0" fontId="0" fillId="7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0" fontId="0" fillId="6" borderId="1" xfId="0" applyNumberFormat="1" applyFont="1" applyFill="1" applyBorder="1"/>
    <x:xf numFmtId="0" fontId="3" fillId="7" borderId="1" xfId="0" applyNumberFormat="1" applyFont="1" applyFill="1" applyBorder="1"/>
    <x:xf numFmtId="200" fontId="3" fillId="7" borderId="1" xfId="0" applyNumberFormat="1" applyFont="1" applyFill="1" applyBorder="1"/>
    <x:xf numFmtId="0" fontId="0" fillId="7" borderId="1" xfId="0" applyNumberFormat="1" applyFont="1" applyFill="1" applyBorder="1"/>
    <x:xf numFmtId="0" fontId="3" fillId="6" borderId="2" xfId="0" applyNumberFormat="1" applyFont="1" applyFill="1" applyBorder="1"/>
    <x:xf numFmtId="200" fontId="3" fillId="6" borderId="2" xfId="0" applyNumberFormat="1" applyFont="1" applyFill="1" applyBorder="1"/>
    <x:xf numFmtId="0" fontId="0" fillId="6" borderId="2" xfId="0" applyNumberFormat="1" applyFont="1" applyFill="1" applyBorder="1"/>
    <x:xf numFmtId="0" fontId="3" fillId="7" borderId="2" xfId="0" applyNumberFormat="1" applyFont="1" applyFill="1" applyBorder="1"/>
    <x:xf numFmtId="200" fontId="3" fillId="7" borderId="2" xfId="0" applyNumberFormat="1" applyFont="1" applyFill="1" applyBorder="1"/>
    <x:xf numFmtId="0" fontId="0" fillId="7" borderId="2" xfId="0" applyNumberFormat="1" applyFont="1" applyFill="1" applyBorder="1"/>
    <x:xf numFmtId="202" fontId="0" fillId="6" borderId="2" xfId="0" applyNumberFormat="1" applyFont="1" applyFill="1" applyBorder="1"/>
    <x:xf numFmtId="202" fontId="0" fillId="6" borderId="1" xfId="0" applyNumberFormat="1" applyFont="1" applyFill="1" applyBorder="1"/>
    <x:xf numFmtId="202" fontId="0" fillId="7" borderId="2" xfId="0" applyNumberFormat="1" applyFont="1" applyFill="1" applyBorder="1"/>
    <x:xf numFmtId="202" fontId="0" fillId="7" borderId="1" xfId="0" applyNumberFormat="1" applyFont="1" applyFill="1" applyBorder="1"/>
    <x:xf numFmtId="203" fontId="0" fillId="6" borderId="2" xfId="0" applyNumberFormat="1" applyFont="1" applyFill="1" applyBorder="1"/>
    <x:xf numFmtId="203" fontId="0" fillId="6" borderId="1" xfId="0" applyNumberFormat="1" applyFont="1" applyFill="1" applyBorder="1"/>
    <x:xf numFmtId="203" fontId="0" fillId="7" borderId="2" xfId="0" applyNumberFormat="1" applyFont="1" applyFill="1" applyBorder="1"/>
    <x:xf numFmtId="203" fontId="0" fillId="7" borderId="1" xfId="0" applyNumberFormat="1" applyFont="1" applyFill="1" applyBorder="1"/>
    <x:xf numFmtId="202" fontId="5" fillId="6" borderId="2" xfId="0" applyNumberFormat="1" applyFont="1" applyFill="1" applyBorder="1"/>
    <x:xf numFmtId="203" fontId="5" fillId="6" borderId="2" xfId="0" applyNumberFormat="1" applyFont="1" applyFill="1" applyBorder="1"/>
    <x:xf numFmtId="202" fontId="5" fillId="6" borderId="1" xfId="0" applyNumberFormat="1" applyFont="1" applyFill="1" applyBorder="1"/>
    <x:xf numFmtId="203" fontId="5" fillId="6" borderId="1" xfId="0" applyNumberFormat="1" applyFont="1" applyFill="1" applyBorder="1"/>
    <x:xf numFmtId="202" fontId="5" fillId="7" borderId="2" xfId="0" applyNumberFormat="1" applyFont="1" applyFill="1" applyBorder="1"/>
    <x:xf numFmtId="203" fontId="5" fillId="7" borderId="2" xfId="0" applyNumberFormat="1" applyFont="1" applyFill="1" applyBorder="1"/>
    <x:xf numFmtId="202" fontId="5" fillId="7" borderId="1" xfId="0" applyNumberFormat="1" applyFont="1" applyFill="1" applyBorder="1"/>
    <x:xf numFmtId="203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3" fillId="10" borderId="1" xfId="0" applyNumberFormat="1" applyFont="1" applyFill="1" applyBorder="1"/>
    <x:xf numFmtId="200" fontId="5" fillId="10" borderId="1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/>
    <x:xf numFmtId="200" fontId="3" fillId="11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3" xfId="0" applyNumberFormat="1" applyFont="1" applyFill="1" applyBorder="1"/>
    <x:xf numFmtId="200" fontId="3" fillId="11" borderId="4" xfId="0" applyNumberFormat="1" applyFont="1" applyFill="1" applyBorder="1"/>
    <x:xf numFmtId="0" fontId="3" fillId="11" borderId="4" xfId="0" applyNumberFormat="1" applyFont="1" applyFill="1" applyBorder="1"/>
    <x:xf numFmtId="0" fontId="0" fillId="11" borderId="4" xfId="0" applyNumberFormat="1" applyFont="1" applyFill="1" applyBorder="1"/>
    <x:xf numFmtId="0" fontId="0" fillId="11" borderId="5" xfId="0" applyNumberFormat="1" applyFont="1" applyFill="1" applyBorder="1"/>
    <x:xf numFmtId="0" fontId="3" fillId="10" borderId="0" xfId="0" applyNumberFormat="1" applyFont="1" applyFill="1" applyBorder="1"/>
    <x:xf numFmtId="200" fontId="3" fillId="1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3" xfId="0" applyNumberFormat="1" applyFont="1" applyFill="1" applyBorder="1"/>
    <x:xf numFmtId="200" fontId="3" fillId="10" borderId="4" xfId="0" applyNumberFormat="1" applyFont="1" applyFill="1" applyBorder="1"/>
    <x:xf numFmtId="0" fontId="3" fillId="10" borderId="4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3" fillId="12" borderId="0" xfId="0" applyNumberFormat="1" applyFont="1" applyFill="1" applyBorder="1"/>
    <x:xf numFmtId="200" fontId="3" fillId="12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3" xfId="0" applyNumberFormat="1" applyFont="1" applyFill="1" applyBorder="1"/>
    <x:xf numFmtId="200" fontId="3" fillId="12" borderId="4" xfId="0" applyNumberFormat="1" applyFont="1" applyFill="1" applyBorder="1"/>
    <x:xf numFmtId="0" fontId="3" fillId="12" borderId="4" xfId="0" applyNumberFormat="1" applyFont="1" applyFill="1" applyBorder="1"/>
    <x:xf numFmtId="0" fontId="0" fillId="12" borderId="4" xfId="0" applyNumberFormat="1" applyFont="1" applyFill="1" applyBorder="1"/>
    <x:xf numFmtId="0" fontId="0" fillId="12" borderId="5" xfId="0" applyNumberFormat="1" applyFont="1" applyFill="1" applyBorder="1"/>
    <x:xf numFmtId="0" fontId="3" fillId="13" borderId="0" xfId="0" applyNumberFormat="1" applyFont="1" applyFill="1" applyBorder="1"/>
    <x:xf numFmtId="200" fontId="3" fillId="13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3" xfId="0" applyNumberFormat="1" applyFont="1" applyFill="1" applyBorder="1"/>
    <x:xf numFmtId="200" fontId="3" fillId="13" borderId="4" xfId="0" applyNumberFormat="1" applyFont="1" applyFill="1" applyBorder="1"/>
    <x:xf numFmtId="0" fontId="3" fillId="13" borderId="4" xfId="0" applyNumberFormat="1" applyFont="1" applyFill="1" applyBorder="1"/>
    <x:xf numFmtId="0" fontId="0" fillId="13" borderId="4" xfId="0" applyNumberFormat="1" applyFont="1" applyFill="1" applyBorder="1"/>
    <x:xf numFmtId="0" fontId="0" fillId="13" borderId="5" xfId="0" applyNumberFormat="1" applyFont="1" applyFill="1" applyBorder="1"/>
    <x:xf numFmtId="0" fontId="3" fillId="11" borderId="1" xfId="0" applyNumberFormat="1" applyFont="1" applyFill="1" applyBorder="1"/>
    <x:xf numFmtId="200" fontId="3" fillId="11" borderId="1" xfId="0" applyNumberFormat="1" applyFont="1" applyFill="1" applyBorder="1"/>
    <x:xf numFmtId="0" fontId="0" fillId="11" borderId="1" xfId="0" applyNumberFormat="1" applyFont="1" applyFill="1" applyBorder="1"/>
    <x:xf numFmtId="200" fontId="3" fillId="10" borderId="1" xfId="0" applyNumberFormat="1" applyFont="1" applyFill="1" applyBorder="1"/>
    <x:xf numFmtId="0" fontId="3" fillId="12" borderId="1" xfId="0" applyNumberFormat="1" applyFont="1" applyFill="1" applyBorder="1"/>
    <x:xf numFmtId="200" fontId="3" fillId="12" borderId="1" xfId="0" applyNumberFormat="1" applyFont="1" applyFill="1" applyBorder="1"/>
    <x:xf numFmtId="0" fontId="0" fillId="12" borderId="1" xfId="0" applyNumberFormat="1" applyFont="1" applyFill="1" applyBorder="1"/>
    <x:xf numFmtId="0" fontId="3" fillId="13" borderId="1" xfId="0" applyNumberFormat="1" applyFont="1" applyFill="1" applyBorder="1"/>
    <x:xf numFmtId="200" fontId="3" fillId="13" borderId="1" xfId="0" applyNumberFormat="1" applyFont="1" applyFill="1" applyBorder="1"/>
    <x:xf numFmtId="0" fontId="0" fillId="13" borderId="1" xfId="0" applyNumberFormat="1" applyFont="1" applyFill="1" applyBorder="1"/>
    <x:xf numFmtId="0" fontId="3" fillId="11" borderId="2" xfId="0" applyNumberFormat="1" applyFont="1" applyFill="1" applyBorder="1"/>
    <x:xf numFmtId="200" fontId="3" fillId="11" borderId="2" xfId="0" applyNumberFormat="1" applyFont="1" applyFill="1" applyBorder="1"/>
    <x:xf numFmtId="0" fontId="0" fillId="11" borderId="2" xfId="0" applyNumberFormat="1" applyFont="1" applyFill="1" applyBorder="1"/>
    <x:xf numFmtId="0" fontId="3" fillId="10" borderId="2" xfId="0" applyNumberFormat="1" applyFont="1" applyFill="1" applyBorder="1"/>
    <x:xf numFmtId="200" fontId="3" fillId="10" borderId="2" xfId="0" applyNumberFormat="1" applyFont="1" applyFill="1" applyBorder="1"/>
    <x:xf numFmtId="0" fontId="0" fillId="10" borderId="2" xfId="0" applyNumberFormat="1" applyFont="1" applyFill="1" applyBorder="1"/>
    <x:xf numFmtId="0" fontId="3" fillId="12" borderId="2" xfId="0" applyNumberFormat="1" applyFont="1" applyFill="1" applyBorder="1"/>
    <x:xf numFmtId="200" fontId="3" fillId="12" borderId="2" xfId="0" applyNumberFormat="1" applyFont="1" applyFill="1" applyBorder="1"/>
    <x:xf numFmtId="0" fontId="0" fillId="12" borderId="2" xfId="0" applyNumberFormat="1" applyFont="1" applyFill="1" applyBorder="1"/>
    <x:xf numFmtId="0" fontId="3" fillId="13" borderId="2" xfId="0" applyNumberFormat="1" applyFont="1" applyFill="1" applyBorder="1"/>
    <x:xf numFmtId="200" fontId="3" fillId="13" borderId="2" xfId="0" applyNumberFormat="1" applyFont="1" applyFill="1" applyBorder="1"/>
    <x:xf numFmtId="0" fontId="0" fillId="13" borderId="2" xfId="0" applyNumberFormat="1" applyFont="1" applyFill="1" applyBorder="1"/>
    <x:xf numFmtId="202" fontId="0" fillId="11" borderId="2" xfId="0" applyNumberFormat="1" applyFont="1" applyFill="1" applyBorder="1"/>
    <x:xf numFmtId="202" fontId="0" fillId="11" borderId="1" xfId="0" applyNumberFormat="1" applyFont="1" applyFill="1" applyBorder="1"/>
    <x:xf numFmtId="202" fontId="0" fillId="10" borderId="2" xfId="0" applyNumberFormat="1" applyFont="1" applyFill="1" applyBorder="1"/>
    <x:xf numFmtId="202" fontId="0" fillId="10" borderId="1" xfId="0" applyNumberFormat="1" applyFont="1" applyFill="1" applyBorder="1"/>
    <x:xf numFmtId="202" fontId="0" fillId="12" borderId="2" xfId="0" applyNumberFormat="1" applyFont="1" applyFill="1" applyBorder="1"/>
    <x:xf numFmtId="202" fontId="0" fillId="12" borderId="1" xfId="0" applyNumberFormat="1" applyFont="1" applyFill="1" applyBorder="1"/>
    <x:xf numFmtId="202" fontId="0" fillId="13" borderId="2" xfId="0" applyNumberFormat="1" applyFont="1" applyFill="1" applyBorder="1"/>
    <x:xf numFmtId="202" fontId="0" fillId="13" borderId="1" xfId="0" applyNumberFormat="1" applyFont="1" applyFill="1" applyBorder="1"/>
    <x:xf numFmtId="203" fontId="0" fillId="11" borderId="2" xfId="0" applyNumberFormat="1" applyFont="1" applyFill="1" applyBorder="1"/>
    <x:xf numFmtId="203" fontId="0" fillId="11" borderId="1" xfId="0" applyNumberFormat="1" applyFont="1" applyFill="1" applyBorder="1"/>
    <x:xf numFmtId="203" fontId="0" fillId="10" borderId="2" xfId="0" applyNumberFormat="1" applyFont="1" applyFill="1" applyBorder="1"/>
    <x:xf numFmtId="203" fontId="0" fillId="10" borderId="1" xfId="0" applyNumberFormat="1" applyFont="1" applyFill="1" applyBorder="1"/>
    <x:xf numFmtId="203" fontId="0" fillId="12" borderId="2" xfId="0" applyNumberFormat="1" applyFont="1" applyFill="1" applyBorder="1"/>
    <x:xf numFmtId="203" fontId="0" fillId="12" borderId="1" xfId="0" applyNumberFormat="1" applyFont="1" applyFill="1" applyBorder="1"/>
    <x:xf numFmtId="203" fontId="0" fillId="13" borderId="2" xfId="0" applyNumberFormat="1" applyFont="1" applyFill="1" applyBorder="1"/>
    <x:xf numFmtId="203" fontId="0" fillId="13" borderId="1" xfId="0" applyNumberFormat="1" applyFont="1" applyFill="1" applyBorder="1"/>
    <x:xf numFmtId="202" fontId="5" fillId="11" borderId="2" xfId="0" applyNumberFormat="1" applyFont="1" applyFill="1" applyBorder="1"/>
    <x:xf numFmtId="203" fontId="5" fillId="11" borderId="2" xfId="0" applyNumberFormat="1" applyFont="1" applyFill="1" applyBorder="1"/>
    <x:xf numFmtId="202" fontId="5" fillId="11" borderId="1" xfId="0" applyNumberFormat="1" applyFont="1" applyFill="1" applyBorder="1"/>
    <x:xf numFmtId="203" fontId="5" fillId="11" borderId="1" xfId="0" applyNumberFormat="1" applyFont="1" applyFill="1" applyBorder="1"/>
    <x:xf numFmtId="202" fontId="5" fillId="10" borderId="2" xfId="0" applyNumberFormat="1" applyFont="1" applyFill="1" applyBorder="1"/>
    <x:xf numFmtId="203" fontId="5" fillId="10" borderId="2" xfId="0" applyNumberFormat="1" applyFont="1" applyFill="1" applyBorder="1"/>
    <x:xf numFmtId="202" fontId="5" fillId="10" borderId="1" xfId="0" applyNumberFormat="1" applyFont="1" applyFill="1" applyBorder="1"/>
    <x:xf numFmtId="203" fontId="5" fillId="10" borderId="1" xfId="0" applyNumberFormat="1" applyFont="1" applyFill="1" applyBorder="1"/>
    <x:xf numFmtId="202" fontId="5" fillId="12" borderId="2" xfId="0" applyNumberFormat="1" applyFont="1" applyFill="1" applyBorder="1"/>
    <x:xf numFmtId="203" fontId="5" fillId="12" borderId="2" xfId="0" applyNumberFormat="1" applyFont="1" applyFill="1" applyBorder="1"/>
    <x:xf numFmtId="202" fontId="5" fillId="12" borderId="1" xfId="0" applyNumberFormat="1" applyFont="1" applyFill="1" applyBorder="1"/>
    <x:xf numFmtId="203" fontId="5" fillId="12" borderId="1" xfId="0" applyNumberFormat="1" applyFont="1" applyFill="1" applyBorder="1"/>
    <x:xf numFmtId="202" fontId="5" fillId="13" borderId="2" xfId="0" applyNumberFormat="1" applyFont="1" applyFill="1" applyBorder="1"/>
    <x:xf numFmtId="203" fontId="5" fillId="13" borderId="2" xfId="0" applyNumberFormat="1" applyFont="1" applyFill="1" applyBorder="1"/>
    <x:xf numFmtId="202" fontId="5" fillId="13" borderId="1" xfId="0" applyNumberFormat="1" applyFont="1" applyFill="1" applyBorder="1"/>
    <x:xf numFmtId="203" fontId="5" fillId="13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118f236cc4122" /><Relationship Type="http://schemas.openxmlformats.org/officeDocument/2006/relationships/theme" Target="/xl/theme/theme1.xml" Id="R21bb6618538c4fcd" /><Relationship Type="http://schemas.openxmlformats.org/officeDocument/2006/relationships/sharedStrings" Target="/xl/sharedStrings.xml" Id="Rb0eff765742d4bac" /><Relationship Type="http://schemas.openxmlformats.org/officeDocument/2006/relationships/worksheet" Target="/xl/worksheets/sheet1.xml" Id="R386d9a4b264f4ef4" /><Relationship Type="http://schemas.openxmlformats.org/officeDocument/2006/relationships/worksheet" Target="/xl/worksheets/sheet2.xml" Id="R7bdc722dc7d34573" /><Relationship Type="http://schemas.openxmlformats.org/officeDocument/2006/relationships/worksheet" Target="/xl/worksheets/sheet3.xml" Id="Rf9e9f0e114b248ed" /><Relationship Type="http://schemas.openxmlformats.org/officeDocument/2006/relationships/worksheet" Target="/xl/worksheets/sheet4.xml" Id="Rdc80b1e3ba3440ce" /><Relationship Type="http://schemas.openxmlformats.org/officeDocument/2006/relationships/worksheet" Target="/xl/worksheets/sheet5.xml" Id="R8871cb47b4ab42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Сводная интерполяция процентных кривых</x:v>
      </x:c>
      <x:c r="B1" s="3" t="str">
        <x:v>Сводная интерполяция процентных кривых</x:v>
      </x:c>
      <x:c r="C1" s="3" t="str">
        <x:v>Сводная интерполяция процентных кривых</x:v>
      </x:c>
      <x:c r="D1" s="3" t="str">
        <x:v>Сводная интерполяция процентных кривых</x:v>
      </x:c>
    </x:row>
    <x:row r="3">
      <x:c r="A3" s="8" t="str">
        <x:v>Параметр</x:v>
      </x:c>
      <x:c r="B3" s="8" t="str">
        <x:v>Значение</x:v>
      </x:c>
    </x:row>
    <x:row r="4">
      <x:c r="A4" s="9" t="str">
        <x:v>Дата отчёта</x:v>
      </x:c>
      <x:c r="B4" s="12" t="n">
        <x:v>46203</x:v>
      </x:c>
    </x:row>
    <x:row r="5">
      <x:c r="A5" s="9" t="str">
        <x:v>Дневная база</x:v>
      </x:c>
      <x:c r="B5" s="11" t="n">
        <x:v>365</x:v>
      </x:c>
    </x:row>
    <x:row r="6">
      <x:c r="A6" s="9" t="str">
        <x:v>Метод</x:v>
      </x:c>
      <x:c r="B6" s="11" t="str">
        <x:v>Линейная интерполяция</x:v>
      </x:c>
    </x:row>
    <x:row r="8">
      <x:c r="A8" s="8" t="str">
        <x:v>Обозначение</x:v>
      </x:c>
      <x:c r="B8" s="8" t="str">
        <x:v>Единица</x:v>
      </x:c>
      <x:c r="C8" s="8" t="str">
        <x:v>Тип</x:v>
      </x:c>
      <x:c r="D8" s="8" t="str">
        <x:v>Примечание</x:v>
      </x:c>
    </x:row>
    <x:row r="9">
      <x:c r="A9" s="9" t="str">
        <x:v>КБД</x:v>
      </x:c>
      <x:c r="B9" s="9" t="str">
        <x:v>%</x:v>
      </x:c>
      <x:c r="C9" s="9" t="str">
        <x:v>Исходная кривая</x:v>
      </x:c>
      <x:c r="D9" s="9" t="str">
        <x:v>КБД Московской биржи на 30.06.2026</x:v>
      </x:c>
    </x:row>
    <x:row r="10">
      <x:c r="A10" s="9" t="str">
        <x:v>Сценарная кривая</x:v>
      </x:c>
      <x:c r="B10" s="9" t="str">
        <x:v>%</x:v>
      </x:c>
      <x:c r="C10" s="9" t="str">
        <x:v>Сценарий</x:v>
      </x:c>
      <x:c r="D10" s="9" t="str">
        <x:v>КБД со сценарным сдвигом из исходной таблицы</x:v>
      </x:c>
    </x:row>
    <x:row r="11">
      <x:c r="A11" s="9" t="str">
        <x:v>ЦБ_shock_up/down</x:v>
      </x:c>
      <x:c r="B11" s="9" t="str">
        <x:v>б.п.</x:v>
      </x:c>
      <x:c r="C11" s="9" t="str">
        <x:v>Шок</x:v>
      </x:c>
      <x:c r="D11" s="9" t="str">
        <x:v>Значения из таблицы ЦБ</x:v>
      </x:c>
    </x:row>
    <x:row r="12">
      <x:c r="A12" s="9" t="str">
        <x:v>RUB вверх/вниз</x:v>
      </x:c>
      <x:c r="B12" s="9" t="str">
        <x:v>п.п.</x:v>
      </x:c>
      <x:c r="C12" s="9" t="str">
        <x:v>Шок</x:v>
      </x:c>
      <x:c r="D12" s="9" t="str">
        <x:v>Рублёвые процентные сдвиги</x:v>
      </x:c>
    </x:row>
    <x:row r="14">
      <x:c r="A14" s="15" t="str">
        <x:v>Правила расчёта</x:v>
      </x:c>
      <x:c r="B14" s="15"/>
      <x:c r="C14" s="15"/>
      <x:c r="D14" s="15"/>
    </x:row>
    <x:row r="15">
      <x:c r="A15" s="9" t="str">
        <x:v>Срок</x:v>
      </x:c>
      <x:c r="B15" s="9" t="str">
        <x:v>(дата платежа − дата отчёта) / 365</x:v>
      </x:c>
      <x:c r="C15" s="9"/>
      <x:c r="D15" s="9"/>
    </x:row>
    <x:row r="16">
      <x:c r="A16" s="9" t="str">
        <x:v>За границами</x:v>
      </x:c>
      <x:c r="B16" s="9" t="str">
        <x:v>Используется ближайшее крайнее значение кривой</x:v>
      </x:c>
      <x:c r="C16" s="9"/>
      <x:c r="D16" s="9"/>
    </x:row>
  </x:sheetData>
  <x:mergeCells>
    <x:mergeCell ref="A1:D1"/>
    <x:mergeCell ref="A14:D14"/>
    <x:mergeCell ref="B15:D15"/>
    <x:mergeCell ref="B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8" customHeight="1">
      <x:c r="A1" s="3" t="str">
        <x:v>Исходные узлы кривых</x:v>
      </x:c>
      <x:c r="B1" s="3" t="str">
        <x:v>Исходные узлы кривых</x:v>
      </x:c>
      <x:c r="C1" s="3" t="str">
        <x:v>Исходные узлы кривых</x:v>
      </x:c>
      <x:c r="D1" s="3" t="str">
        <x:v>Исходные узлы кривых</x:v>
      </x:c>
      <x:c r="E1" s="3" t="str">
        <x:v>Исходные узлы кривых</x:v>
      </x:c>
      <x:c r="F1" s="3" t="str">
        <x:v>Исходные узлы кривых</x:v>
      </x:c>
      <x:c r="G1" s="3" t="str">
        <x:v>Исходные узлы кривых</x:v>
      </x:c>
      <x:c r="H1" s="3" t="str">
        <x:v>Исходные узлы кривых</x:v>
      </x:c>
      <x:c r="I1" s="3" t="str">
        <x:v>Исходные узлы кривых</x:v>
      </x:c>
      <x:c r="J1" s="3" t="str">
        <x:v>Исходные узлы кривых</x:v>
      </x:c>
      <x:c r="K1" s="3" t="str">
        <x:v>Исходные узлы кривых</x:v>
      </x:c>
      <x:c r="L1" s="3" t="str">
        <x:v>Исходные узлы кривых</x:v>
      </x:c>
      <x:c r="M1" s="3" t="str">
        <x:v>Исходные узлы кривых</x:v>
      </x:c>
      <x:c r="N1" s="3" t="str">
        <x:v>Исходные узлы кривых</x:v>
      </x:c>
      <x:c r="O1" s="3" t="str">
        <x:v>Исходные узлы кривых</x:v>
      </x:c>
    </x:row>
    <x:row r="3">
      <x:c r="A3" s="17" t="str">
        <x:v>КБД Московской биржи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18" t="str">
        <x:v>Срок, лет</x:v>
      </x:c>
      <x:c r="B4" s="19" t="n">
        <x:v>0.25</x:v>
      </x:c>
      <x:c r="C4" s="19" t="n">
        <x:v>0.5</x:v>
      </x:c>
      <x:c r="D4" s="19" t="n">
        <x:v>0.75</x:v>
      </x:c>
      <x:c r="E4" s="19" t="n">
        <x:v>1</x:v>
      </x:c>
      <x:c r="F4" s="19" t="n">
        <x:v>2</x:v>
      </x:c>
      <x:c r="G4" s="19" t="n">
        <x:v>3</x:v>
      </x:c>
      <x:c r="H4" s="19" t="n">
        <x:v>5</x:v>
      </x:c>
      <x:c r="I4" s="19" t="n">
        <x:v>7</x:v>
      </x:c>
      <x:c r="J4" s="19" t="n">
        <x:v>10</x:v>
      </x:c>
      <x:c r="K4" s="19" t="n">
        <x:v>15</x:v>
      </x:c>
      <x:c r="L4" s="19" t="n">
        <x:v>20</x:v>
      </x:c>
      <x:c r="M4" s="20"/>
      <x:c r="N4" s="20"/>
    </x:row>
    <x:row r="5">
      <x:c r="A5" s="9" t="str">
        <x:v>КБД, %</x:v>
      </x:c>
      <x:c r="B5" s="21" t="n">
        <x:v>13.59</x:v>
      </x:c>
      <x:c r="C5" s="21" t="n">
        <x:v>13.44</x:v>
      </x:c>
      <x:c r="D5" s="21" t="n">
        <x:v>13.39</x:v>
      </x:c>
      <x:c r="E5" s="21" t="n">
        <x:v>13.41</x:v>
      </x:c>
      <x:c r="F5" s="21" t="n">
        <x:v>13.87</x:v>
      </x:c>
      <x:c r="G5" s="21" t="n">
        <x:v>14.47</x:v>
      </x:c>
      <x:c r="H5" s="21" t="n">
        <x:v>15.42</x:v>
      </x:c>
      <x:c r="I5" s="21" t="n">
        <x:v>15.98</x:v>
      </x:c>
      <x:c r="J5" s="21" t="n">
        <x:v>16.38</x:v>
      </x:c>
      <x:c r="K5" s="21" t="n">
        <x:v>16.65</x:v>
      </x:c>
      <x:c r="L5" s="21" t="n">
        <x:v>16.78</x:v>
      </x:c>
      <x:c r="M5" s="20"/>
      <x:c r="N5" s="20"/>
    </x:row>
    <x:row r="6"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17" t="str">
        <x:v>Сценарная кривая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</x:row>
    <x:row r="8">
      <x:c r="A8" s="18" t="str">
        <x:v>Срок, лет</x:v>
      </x:c>
      <x:c r="B8" s="19" t="n">
        <x:v>0</x:v>
      </x:c>
      <x:c r="C8" s="19" t="n">
        <x:v>0.25</x:v>
      </x:c>
      <x:c r="D8" s="19" t="n">
        <x:v>0.5</x:v>
      </x:c>
      <x:c r="E8" s="19" t="n">
        <x:v>0.75</x:v>
      </x:c>
      <x:c r="F8" s="19" t="n">
        <x:v>1</x:v>
      </x:c>
      <x:c r="G8" s="19" t="n">
        <x:v>2</x:v>
      </x:c>
      <x:c r="H8" s="19" t="n">
        <x:v>3</x:v>
      </x:c>
      <x:c r="I8" s="19" t="n">
        <x:v>5</x:v>
      </x:c>
      <x:c r="J8" s="19" t="n">
        <x:v>7</x:v>
      </x:c>
      <x:c r="K8" s="19" t="n">
        <x:v>10</x:v>
      </x:c>
      <x:c r="L8" s="19" t="n">
        <x:v>15</x:v>
      </x:c>
      <x:c r="M8" s="19" t="n">
        <x:v>20</x:v>
      </x:c>
      <x:c r="N8" s="19" t="n">
        <x:v>30</x:v>
      </x:c>
    </x:row>
    <x:row r="9">
      <x:c r="A9" s="9" t="str">
        <x:v>Ставка, %</x:v>
      </x:c>
      <x:c r="B9" s="21" t="n">
        <x:v>15.59</x:v>
      </x:c>
      <x:c r="C9" s="21" t="n">
        <x:v>15.59</x:v>
      </x:c>
      <x:c r="D9" s="21" t="n">
        <x:v>15.44</x:v>
      </x:c>
      <x:c r="E9" s="21" t="n">
        <x:v>15.39</x:v>
      </x:c>
      <x:c r="F9" s="21" t="n">
        <x:v>15.41</x:v>
      </x:c>
      <x:c r="G9" s="21" t="n">
        <x:v>15.87</x:v>
      </x:c>
      <x:c r="H9" s="21" t="n">
        <x:v>16.47</x:v>
      </x:c>
      <x:c r="I9" s="21" t="n">
        <x:v>17.42</x:v>
      </x:c>
      <x:c r="J9" s="21" t="n">
        <x:v>17.98</x:v>
      </x:c>
      <x:c r="K9" s="21" t="n">
        <x:v>18.38</x:v>
      </x:c>
      <x:c r="L9" s="21" t="n">
        <x:v>18.65</x:v>
      </x:c>
      <x:c r="M9" s="21" t="n">
        <x:v>18.78</x:v>
      </x:c>
      <x:c r="N9" s="21" t="n">
        <x:v>18.93</x:v>
      </x:c>
    </x:row>
    <x:row r="10"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17" t="str">
        <x:v>Шоки ЦБ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0"/>
      <x:c r="M11" s="20"/>
      <x:c r="N11" s="20"/>
    </x:row>
    <x:row r="12">
      <x:c r="A12" s="18" t="str">
        <x:v>Срок, лет</x:v>
      </x:c>
      <x:c r="B12" s="19" t="n">
        <x:v>0.25</x:v>
      </x:c>
      <x:c r="C12" s="19" t="n">
        <x:v>0.5</x:v>
      </x:c>
      <x:c r="D12" s="19" t="n">
        <x:v>1</x:v>
      </x:c>
      <x:c r="E12" s="19" t="n">
        <x:v>2</x:v>
      </x:c>
      <x:c r="F12" s="19" t="n">
        <x:v>3</x:v>
      </x:c>
      <x:c r="G12" s="19" t="n">
        <x:v>5</x:v>
      </x:c>
      <x:c r="H12" s="19" t="n">
        <x:v>7</x:v>
      </x:c>
      <x:c r="I12" s="19" t="n">
        <x:v>10</x:v>
      </x:c>
      <x:c r="J12" s="19" t="n">
        <x:v>20</x:v>
      </x:c>
      <x:c r="K12" s="19" t="n">
        <x:v>30</x:v>
      </x:c>
      <x:c r="L12" s="20"/>
      <x:c r="M12" s="20"/>
      <x:c r="N12" s="20"/>
    </x:row>
    <x:row r="13">
      <x:c r="A13" s="9" t="str">
        <x:v>ЦБ_shock_up, б.п.</x:v>
      </x:c>
      <x:c r="B13" s="21" t="n">
        <x:v>62</x:v>
      </x:c>
      <x:c r="C13" s="21" t="n">
        <x:v>59</x:v>
      </x:c>
      <x:c r="D13" s="21" t="n">
        <x:v>58</x:v>
      </x:c>
      <x:c r="E13" s="21" t="n">
        <x:v>55</x:v>
      </x:c>
      <x:c r="F13" s="21" t="n">
        <x:v>54</x:v>
      </x:c>
      <x:c r="G13" s="21" t="n">
        <x:v>48</x:v>
      </x:c>
      <x:c r="H13" s="21" t="n">
        <x:v>42</x:v>
      </x:c>
      <x:c r="I13" s="21" t="n">
        <x:v>34</x:v>
      </x:c>
      <x:c r="J13" s="21" t="n">
        <x:v>20</x:v>
      </x:c>
      <x:c r="K13" s="21" t="n">
        <x:v>14</x:v>
      </x:c>
      <x:c r="L13" s="20"/>
      <x:c r="M13" s="20"/>
      <x:c r="N13" s="20"/>
    </x:row>
    <x:row r="14">
      <x:c r="A14" s="9" t="str">
        <x:v>ЦБ_shock_down, б.п.</x:v>
      </x:c>
      <x:c r="B14" s="21" t="n">
        <x:v>-38</x:v>
      </x:c>
      <x:c r="C14" s="21" t="n">
        <x:v>-35</x:v>
      </x:c>
      <x:c r="D14" s="21" t="n">
        <x:v>-31</x:v>
      </x:c>
      <x:c r="E14" s="21" t="n">
        <x:v>-29</x:v>
      </x:c>
      <x:c r="F14" s="21" t="n">
        <x:v>-28</x:v>
      </x:c>
      <x:c r="G14" s="21" t="n">
        <x:v>-27</x:v>
      </x:c>
      <x:c r="H14" s="21" t="n">
        <x:v>-26</x:v>
      </x:c>
      <x:c r="I14" s="21" t="n">
        <x:v>-24</x:v>
      </x:c>
      <x:c r="J14" s="21" t="n">
        <x:v>-18</x:v>
      </x:c>
      <x:c r="K14" s="21" t="n">
        <x:v>-15</x:v>
      </x:c>
      <x:c r="L14" s="20"/>
      <x:c r="M14" s="20"/>
      <x:c r="N14" s="20"/>
    </x:row>
    <x:row r="15"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17" t="str">
        <x:v>Сдвиги RUB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0"/>
      <x:c r="N16" s="20"/>
    </x:row>
    <x:row r="17">
      <x:c r="A17" s="18" t="str">
        <x:v>Срок, лет</x:v>
      </x:c>
      <x:c r="B17" s="19" t="n">
        <x:v>0</x:v>
      </x:c>
      <x:c r="C17" s="19" t="n">
        <x:v>0.08</x:v>
      </x:c>
      <x:c r="D17" s="19" t="n">
        <x:v>0.25</x:v>
      </x:c>
      <x:c r="E17" s="19" t="n">
        <x:v>0.5</x:v>
      </x:c>
      <x:c r="F17" s="19" t="n">
        <x:v>0.75</x:v>
      </x:c>
      <x:c r="G17" s="19" t="n">
        <x:v>1</x:v>
      </x:c>
      <x:c r="H17" s="19" t="n">
        <x:v>2</x:v>
      </x:c>
      <x:c r="I17" s="19" t="n">
        <x:v>3</x:v>
      </x:c>
      <x:c r="J17" s="19" t="n">
        <x:v>4</x:v>
      </x:c>
      <x:c r="K17" s="19" t="n">
        <x:v>5</x:v>
      </x:c>
      <x:c r="L17" s="19" t="n">
        <x:v>100</x:v>
      </x:c>
      <x:c r="M17" s="20"/>
      <x:c r="N17" s="20"/>
    </x:row>
    <x:row r="18">
      <x:c r="A18" s="9" t="str">
        <x:v>Сдвиг вверх, п.п.</x:v>
      </x:c>
      <x:c r="B18" s="21" t="n">
        <x:v>5.75</x:v>
      </x:c>
      <x:c r="C18" s="21" t="n">
        <x:v>5.75</x:v>
      </x:c>
      <x:c r="D18" s="21" t="n">
        <x:v>5.75</x:v>
      </x:c>
      <x:c r="E18" s="21" t="n">
        <x:v>4.8</x:v>
      </x:c>
      <x:c r="F18" s="21" t="n">
        <x:v>5.2</x:v>
      </x:c>
      <x:c r="G18" s="21" t="n">
        <x:v>6</x:v>
      </x:c>
      <x:c r="H18" s="21" t="n">
        <x:v>7.25</x:v>
      </x:c>
      <x:c r="I18" s="21" t="n">
        <x:v>6.4</x:v>
      </x:c>
      <x:c r="J18" s="21" t="n">
        <x:v>6.15</x:v>
      </x:c>
      <x:c r="K18" s="21" t="n">
        <x:v>5.4</x:v>
      </x:c>
      <x:c r="L18" s="21" t="n">
        <x:v>5.4</x:v>
      </x:c>
      <x:c r="M18" s="20"/>
      <x:c r="N18" s="20"/>
    </x:row>
    <x:row r="19">
      <x:c r="A19" s="9" t="str">
        <x:v>Сдвиг вниз, п.п.</x:v>
      </x:c>
      <x:c r="B19" s="21" t="n">
        <x:v>-2.55</x:v>
      </x:c>
      <x:c r="C19" s="21" t="n">
        <x:v>-2.55</x:v>
      </x:c>
      <x:c r="D19" s="21" t="n">
        <x:v>-2.55</x:v>
      </x:c>
      <x:c r="E19" s="21" t="n">
        <x:v>-3.35</x:v>
      </x:c>
      <x:c r="F19" s="21" t="n">
        <x:v>-4.3</x:v>
      </x:c>
      <x:c r="G19" s="21" t="n">
        <x:v>-5</x:v>
      </x:c>
      <x:c r="H19" s="21" t="n">
        <x:v>-4.7</x:v>
      </x:c>
      <x:c r="I19" s="21" t="n">
        <x:v>-3.65</x:v>
      </x:c>
      <x:c r="J19" s="21" t="n">
        <x:v>-2.85</x:v>
      </x:c>
      <x:c r="K19" s="21" t="n">
        <x:v>-1.9</x:v>
      </x:c>
      <x:c r="L19" s="21" t="n">
        <x:v>-1.9</x:v>
      </x:c>
      <x:c r="M19" s="20"/>
      <x:c r="N19" s="20"/>
    </x:row>
  </x:sheetData>
  <x:mergeCells>
    <x:mergeCell ref="A1:O1"/>
    <x:mergeCell ref="A3:L3"/>
    <x:mergeCell ref="A7:N7"/>
    <x:mergeCell ref="A11:K11"/>
    <x:mergeCell ref="A16:L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3" t="str">
        <x:v>Все интерполяции на заданные даты</x:v>
      </x:c>
      <x:c r="B1" s="3" t="str">
        <x:v>Все интерполяции на заданные даты</x:v>
      </x:c>
      <x:c r="C1" s="3" t="str">
        <x:v>Все интерполяции на заданные даты</x:v>
      </x:c>
      <x:c r="D1" s="3" t="str">
        <x:v>Все интерполяции на заданные даты</x:v>
      </x:c>
      <x:c r="E1" s="3" t="str">
        <x:v>Все интерполяции на заданные даты</x:v>
      </x:c>
      <x:c r="F1" s="3" t="str">
        <x:v>Все интерполяции на заданные даты</x:v>
      </x:c>
      <x:c r="G1" s="3" t="str">
        <x:v>Все интерполяции на заданные даты</x:v>
      </x:c>
      <x:c r="H1" s="3" t="str">
        <x:v>Все интерполяции на заданные даты</x:v>
      </x:c>
      <x:c r="I1" s="3" t="str">
        <x:v>Все интерполяции на заданные даты</x:v>
      </x:c>
      <x:c r="J1" s="3" t="str">
        <x:v>Все интерполяции на заданные даты</x:v>
      </x:c>
    </x:row>
    <x:row r="3" ht="42" customHeight="1">
      <x:c r="A3" s="8" t="str">
        <x:v>Набор дат</x:v>
      </x:c>
      <x:c r="B3" s="8" t="str">
        <x:v>Дата</x:v>
      </x:c>
      <x:c r="C3" s="8" t="str">
        <x:v>Дней</x:v>
      </x:c>
      <x:c r="D3" s="8" t="str">
        <x:v>Срок ACT/365, лет</x:v>
      </x:c>
      <x:c r="E3" s="8" t="str">
        <x:v>КБД, %</x:v>
      </x:c>
      <x:c r="F3" s="8" t="str">
        <x:v>Сценарная кривая, %</x:v>
      </x:c>
      <x:c r="G3" s="8" t="str">
        <x:v>ЦБ_shock_up, б.п.</x:v>
      </x:c>
      <x:c r="H3" s="8" t="str">
        <x:v>ЦБ_shock_down, б.п.</x:v>
      </x:c>
      <x:c r="I3" s="8" t="str">
        <x:v>RUB вверх, п.п.</x:v>
      </x:c>
      <x:c r="J3" s="8" t="str">
        <x:v>RUB вниз, п.п.</x:v>
      </x:c>
    </x:row>
    <x:row r="4">
      <x:c r="A4" s="32" t="str">
        <x:v>Годовые даты</x:v>
      </x:c>
      <x:c r="B4" s="33" t="n">
        <x:v>46203</x:v>
      </x:c>
      <x:c r="C4" s="34" t="n">
        <x:f>B4-'Настройки'!$B$4</x:f>
        <x:v>0</x:v>
      </x:c>
      <x:c r="D4" s="35" t="n">
        <x:f>C4/'Настройки'!$B$5</x:f>
        <x:v>0</x:v>
      </x:c>
      <x:c r="E4" s="35" t="n">
        <x:f>IF(D4&lt;=MIN('Исходные кривые'!$B$4:$L$4),INDEX('Исходные кривые'!$B$5:$L$5,1,1),IF(D4&gt;=MAX('Исходные кривые'!$B$4:$L$4),INDEX('Исходные кривые'!$B$5:$L$5,1,COLUMNS('Исходные кривые'!$B$5:$L$5)),INDEX('Исходные кривые'!$B$5:$L$5,1,MATCH(D4,'Исходные кривые'!$B$4:$L$4,1))+(D4-INDEX('Исходные кривые'!$B$4:$L$4,1,MATCH(D4,'Исходные кривые'!$B$4:$L$4,1)))*(INDEX('Исходные кривые'!$B$5:$L$5,1,MATCH(D4,'Исходные кривые'!$B$4:$L$4,1)+1)-INDEX('Исходные кривые'!$B$5:$L$5,1,MATCH(D4,'Исходные кривые'!$B$4:$L$4,1)))/(INDEX('Исходные кривые'!$B$4:$L$4,1,MATCH(D4,'Исходные кривые'!$B$4:$L$4,1)+1)-INDEX('Исходные кривые'!$B$4:$L$4,1,MATCH(D4,'Исходные кривые'!$B$4:$L$4,1)))))</x:f>
        <x:v>13.59</x:v>
      </x:c>
      <x:c r="F4" s="35" t="n">
        <x:f>IF(D4&lt;=MIN('Исходные кривые'!$B$8:$N$8),INDEX('Исходные кривые'!$B$9:$N$9,1,1),IF(D4&gt;=MAX('Исходные кривые'!$B$8:$N$8),INDEX('Исходные кривые'!$B$9:$N$9,1,COLUMNS('Исходные кривые'!$B$9:$N$9)),INDEX('Исходные кривые'!$B$9:$N$9,1,MATCH(D4,'Исходные кривые'!$B$8:$N$8,1))+(D4-INDEX('Исходные кривые'!$B$8:$N$8,1,MATCH(D4,'Исходные кривые'!$B$8:$N$8,1)))*(INDEX('Исходные кривые'!$B$9:$N$9,1,MATCH(D4,'Исходные кривые'!$B$8:$N$8,1)+1)-INDEX('Исходные кривые'!$B$9:$N$9,1,MATCH(D4,'Исходные кривые'!$B$8:$N$8,1)))/(INDEX('Исходные кривые'!$B$8:$N$8,1,MATCH(D4,'Исходные кривые'!$B$8:$N$8,1)+1)-INDEX('Исходные кривые'!$B$8:$N$8,1,MATCH(D4,'Исходные кривые'!$B$8:$N$8,1)))))</x:f>
        <x:v>15.59</x:v>
      </x:c>
      <x:c r="G4" s="35" t="n">
        <x:f>IF(D4&lt;=MIN('Исходные кривые'!$B$12:$K$12),INDEX('Исходные кривые'!$B$13:$K$13,1,1),IF(D4&gt;=MAX('Исходные кривые'!$B$12:$K$12),INDEX('Исходные кривые'!$B$13:$K$13,1,COLUMNS('Исходные кривые'!$B$13:$K$13)),INDEX('Исходные кривые'!$B$13:$K$13,1,MATCH(D4,'Исходные кривые'!$B$12:$K$12,1))+(D4-INDEX('Исходные кривые'!$B$12:$K$12,1,MATCH(D4,'Исходные кривые'!$B$12:$K$12,1)))*(INDEX('Исходные кривые'!$B$13:$K$13,1,MATCH(D4,'Исходные кривые'!$B$12:$K$12,1)+1)-INDEX('Исходные кривые'!$B$13:$K$13,1,MATCH(D4,'Исходные кривые'!$B$12:$K$12,1)))/(INDEX('Исходные кривые'!$B$12:$K$12,1,MATCH(D4,'Исходные кривые'!$B$12:$K$12,1)+1)-INDEX('Исходные кривые'!$B$12:$K$12,1,MATCH(D4,'Исходные кривые'!$B$12:$K$12,1)))))</x:f>
        <x:v>62</x:v>
      </x:c>
      <x:c r="H4" s="35" t="n">
        <x:f>IF(D4&lt;=MIN('Исходные кривые'!$B$12:$K$12),INDEX('Исходные кривые'!$B$14:$K$14,1,1),IF(D4&gt;=MAX('Исходные кривые'!$B$12:$K$12),INDEX('Исходные кривые'!$B$14:$K$14,1,COLUMNS('Исходные кривые'!$B$14:$K$14)),INDEX('Исходные кривые'!$B$14:$K$14,1,MATCH(D4,'Исходные кривые'!$B$12:$K$12,1))+(D4-INDEX('Исходные кривые'!$B$12:$K$12,1,MATCH(D4,'Исходные кривые'!$B$12:$K$12,1)))*(INDEX('Исходные кривые'!$B$14:$K$14,1,MATCH(D4,'Исходные кривые'!$B$12:$K$12,1)+1)-INDEX('Исходные кривые'!$B$14:$K$14,1,MATCH(D4,'Исходные кривые'!$B$12:$K$12,1)))/(INDEX('Исходные кривые'!$B$12:$K$12,1,MATCH(D4,'Исходные кривые'!$B$12:$K$12,1)+1)-INDEX('Исходные кривые'!$B$12:$K$12,1,MATCH(D4,'Исходные кривые'!$B$12:$K$12,1)))))</x:f>
        <x:v>-38</x:v>
      </x:c>
      <x:c r="I4" s="35" t="n">
        <x:f>IF(D4&lt;=MIN('Исходные кривые'!$B$17:$L$17),INDEX('Исходные кривые'!$B$18:$L$18,1,1),IF(D4&gt;=MAX('Исходные кривые'!$B$17:$L$17),INDEX('Исходные кривые'!$B$18:$L$18,1,COLUMNS('Исходные кривые'!$B$18:$L$18)),INDEX('Исходные кривые'!$B$18:$L$18,1,MATCH(D4,'Исходные кривые'!$B$17:$L$17,1))+(D4-INDEX('Исходные кривые'!$B$17:$L$17,1,MATCH(D4,'Исходные кривые'!$B$17:$L$17,1)))*(INDEX('Исходные кривые'!$B$18:$L$18,1,MATCH(D4,'Исходные кривые'!$B$17:$L$17,1)+1)-INDEX('Исходные кривые'!$B$18:$L$18,1,MATCH(D4,'Исходные кривые'!$B$17:$L$17,1)))/(INDEX('Исходные кривые'!$B$17:$L$17,1,MATCH(D4,'Исходные кривые'!$B$17:$L$17,1)+1)-INDEX('Исходные кривые'!$B$17:$L$17,1,MATCH(D4,'Исходные кривые'!$B$17:$L$17,1)))))</x:f>
        <x:v>5.75</x:v>
      </x:c>
      <x:c r="J4" s="35" t="n">
        <x:f>IF(D4&lt;=MIN('Исходные кривые'!$B$17:$L$17),INDEX('Исходные кривые'!$B$19:$L$19,1,1),IF(D4&gt;=MAX('Исходные кривые'!$B$17:$L$17),INDEX('Исходные кривые'!$B$19:$L$19,1,COLUMNS('Исходные кривые'!$B$19:$L$19)),INDEX('Исходные кривые'!$B$19:$L$19,1,MATCH(D4,'Исходные кривые'!$B$17:$L$17,1))+(D4-INDEX('Исходные кривые'!$B$17:$L$17,1,MATCH(D4,'Исходные кривые'!$B$17:$L$17,1)))*(INDEX('Исходные кривые'!$B$19:$L$19,1,MATCH(D4,'Исходные кривые'!$B$17:$L$17,1)+1)-INDEX('Исходные кривые'!$B$19:$L$19,1,MATCH(D4,'Исходные кривые'!$B$17:$L$17,1)))/(INDEX('Исходные кривые'!$B$17:$L$17,1,MATCH(D4,'Исходные кривые'!$B$17:$L$17,1)+1)-INDEX('Исходные кривые'!$B$17:$L$17,1,MATCH(D4,'Исходные кривые'!$B$17:$L$17,1)))))</x:f>
        <x:v>-2.55</x:v>
      </x:c>
    </x:row>
    <x:row r="5">
      <x:c r="A5" s="32" t="str">
        <x:v>Годовые даты</x:v>
      </x:c>
      <x:c r="B5" s="33" t="n">
        <x:v>46568</x:v>
      </x:c>
      <x:c r="C5" s="34" t="n">
        <x:f>B5-'Настройки'!$B$4</x:f>
        <x:v>365</x:v>
      </x:c>
      <x:c r="D5" s="35" t="n">
        <x:f>C5/'Настройки'!$B$5</x:f>
        <x:v>1</x:v>
      </x:c>
      <x:c r="E5" s="35" t="n">
        <x:f>IF(D5&lt;=MIN('Исходные кривые'!$B$4:$L$4),INDEX('Исходные кривые'!$B$5:$L$5,1,1),IF(D5&gt;=MAX('Исходные кривые'!$B$4:$L$4),INDEX('Исходные кривые'!$B$5:$L$5,1,COLUMNS('Исходные кривые'!$B$5:$L$5)),INDEX('Исходные кривые'!$B$5:$L$5,1,MATCH(D5,'Исходные кривые'!$B$4:$L$4,1))+(D5-INDEX('Исходные кривые'!$B$4:$L$4,1,MATCH(D5,'Исходные кривые'!$B$4:$L$4,1)))*(INDEX('Исходные кривые'!$B$5:$L$5,1,MATCH(D5,'Исходные кривые'!$B$4:$L$4,1)+1)-INDEX('Исходные кривые'!$B$5:$L$5,1,MATCH(D5,'Исходные кривые'!$B$4:$L$4,1)))/(INDEX('Исходные кривые'!$B$4:$L$4,1,MATCH(D5,'Исходные кривые'!$B$4:$L$4,1)+1)-INDEX('Исходные кривые'!$B$4:$L$4,1,MATCH(D5,'Исходные кривые'!$B$4:$L$4,1)))))</x:f>
        <x:v>13.41</x:v>
      </x:c>
      <x:c r="F5" s="35" t="n">
        <x:f>IF(D5&lt;=MIN('Исходные кривые'!$B$8:$N$8),INDEX('Исходные кривые'!$B$9:$N$9,1,1),IF(D5&gt;=MAX('Исходные кривые'!$B$8:$N$8),INDEX('Исходные кривые'!$B$9:$N$9,1,COLUMNS('Исходные кривые'!$B$9:$N$9)),INDEX('Исходные кривые'!$B$9:$N$9,1,MATCH(D5,'Исходные кривые'!$B$8:$N$8,1))+(D5-INDEX('Исходные кривые'!$B$8:$N$8,1,MATCH(D5,'Исходные кривые'!$B$8:$N$8,1)))*(INDEX('Исходные кривые'!$B$9:$N$9,1,MATCH(D5,'Исходные кривые'!$B$8:$N$8,1)+1)-INDEX('Исходные кривые'!$B$9:$N$9,1,MATCH(D5,'Исходные кривые'!$B$8:$N$8,1)))/(INDEX('Исходные кривые'!$B$8:$N$8,1,MATCH(D5,'Исходные кривые'!$B$8:$N$8,1)+1)-INDEX('Исходные кривые'!$B$8:$N$8,1,MATCH(D5,'Исходные кривые'!$B$8:$N$8,1)))))</x:f>
        <x:v>15.41</x:v>
      </x:c>
      <x:c r="G5" s="35" t="n">
        <x:f>IF(D5&lt;=MIN('Исходные кривые'!$B$12:$K$12),INDEX('Исходные кривые'!$B$13:$K$13,1,1),IF(D5&gt;=MAX('Исходные кривые'!$B$12:$K$12),INDEX('Исходные кривые'!$B$13:$K$13,1,COLUMNS('Исходные кривые'!$B$13:$K$13)),INDEX('Исходные кривые'!$B$13:$K$13,1,MATCH(D5,'Исходные кривые'!$B$12:$K$12,1))+(D5-INDEX('Исходные кривые'!$B$12:$K$12,1,MATCH(D5,'Исходные кривые'!$B$12:$K$12,1)))*(INDEX('Исходные кривые'!$B$13:$K$13,1,MATCH(D5,'Исходные кривые'!$B$12:$K$12,1)+1)-INDEX('Исходные кривые'!$B$13:$K$13,1,MATCH(D5,'Исходные кривые'!$B$12:$K$12,1)))/(INDEX('Исходные кривые'!$B$12:$K$12,1,MATCH(D5,'Исходные кривые'!$B$12:$K$12,1)+1)-INDEX('Исходные кривые'!$B$12:$K$12,1,MATCH(D5,'Исходные кривые'!$B$12:$K$12,1)))))</x:f>
        <x:v>58</x:v>
      </x:c>
      <x:c r="H5" s="35" t="n">
        <x:f>IF(D5&lt;=MIN('Исходные кривые'!$B$12:$K$12),INDEX('Исходные кривые'!$B$14:$K$14,1,1),IF(D5&gt;=MAX('Исходные кривые'!$B$12:$K$12),INDEX('Исходные кривые'!$B$14:$K$14,1,COLUMNS('Исходные кривые'!$B$14:$K$14)),INDEX('Исходные кривые'!$B$14:$K$14,1,MATCH(D5,'Исходные кривые'!$B$12:$K$12,1))+(D5-INDEX('Исходные кривые'!$B$12:$K$12,1,MATCH(D5,'Исходные кривые'!$B$12:$K$12,1)))*(INDEX('Исходные кривые'!$B$14:$K$14,1,MATCH(D5,'Исходные кривые'!$B$12:$K$12,1)+1)-INDEX('Исходные кривые'!$B$14:$K$14,1,MATCH(D5,'Исходные кривые'!$B$12:$K$12,1)))/(INDEX('Исходные кривые'!$B$12:$K$12,1,MATCH(D5,'Исходные кривые'!$B$12:$K$12,1)+1)-INDEX('Исходные кривые'!$B$12:$K$12,1,MATCH(D5,'Исходные кривые'!$B$12:$K$12,1)))))</x:f>
        <x:v>-31</x:v>
      </x:c>
      <x:c r="I5" s="35" t="n">
        <x:f>IF(D5&lt;=MIN('Исходные кривые'!$B$17:$L$17),INDEX('Исходные кривые'!$B$18:$L$18,1,1),IF(D5&gt;=MAX('Исходные кривые'!$B$17:$L$17),INDEX('Исходные кривые'!$B$18:$L$18,1,COLUMNS('Исходные кривые'!$B$18:$L$18)),INDEX('Исходные кривые'!$B$18:$L$18,1,MATCH(D5,'Исходные кривые'!$B$17:$L$17,1))+(D5-INDEX('Исходные кривые'!$B$17:$L$17,1,MATCH(D5,'Исходные кривые'!$B$17:$L$17,1)))*(INDEX('Исходные кривые'!$B$18:$L$18,1,MATCH(D5,'Исходные кривые'!$B$17:$L$17,1)+1)-INDEX('Исходные кривые'!$B$18:$L$18,1,MATCH(D5,'Исходные кривые'!$B$17:$L$17,1)))/(INDEX('Исходные кривые'!$B$17:$L$17,1,MATCH(D5,'Исходные кривые'!$B$17:$L$17,1)+1)-INDEX('Исходные кривые'!$B$17:$L$17,1,MATCH(D5,'Исходные кривые'!$B$17:$L$17,1)))))</x:f>
        <x:v>6</x:v>
      </x:c>
      <x:c r="J5" s="35" t="n">
        <x:f>IF(D5&lt;=MIN('Исходные кривые'!$B$17:$L$17),INDEX('Исходные кривые'!$B$19:$L$19,1,1),IF(D5&gt;=MAX('Исходные кривые'!$B$17:$L$17),INDEX('Исходные кривые'!$B$19:$L$19,1,COLUMNS('Исходные кривые'!$B$19:$L$19)),INDEX('Исходные кривые'!$B$19:$L$19,1,MATCH(D5,'Исходные кривые'!$B$17:$L$17,1))+(D5-INDEX('Исходные кривые'!$B$17:$L$17,1,MATCH(D5,'Исходные кривые'!$B$17:$L$17,1)))*(INDEX('Исходные кривые'!$B$19:$L$19,1,MATCH(D5,'Исходные кривые'!$B$17:$L$17,1)+1)-INDEX('Исходные кривые'!$B$19:$L$19,1,MATCH(D5,'Исходные кривые'!$B$17:$L$17,1)))/(INDEX('Исходные кривые'!$B$17:$L$17,1,MATCH(D5,'Исходные кривые'!$B$17:$L$17,1)+1)-INDEX('Исходные кривые'!$B$17:$L$17,1,MATCH(D5,'Исходные кривые'!$B$17:$L$17,1)))))</x:f>
        <x:v>-5</x:v>
      </x:c>
    </x:row>
    <x:row r="6">
      <x:c r="A6" s="32" t="str">
        <x:v>Годовые даты</x:v>
      </x:c>
      <x:c r="B6" s="33" t="n">
        <x:v>46934</x:v>
      </x:c>
      <x:c r="C6" s="34" t="n">
        <x:f>B6-'Настройки'!$B$4</x:f>
        <x:v>731</x:v>
      </x:c>
      <x:c r="D6" s="35" t="n">
        <x:f>C6/'Настройки'!$B$5</x:f>
        <x:v>2.0027397260273974</x:v>
      </x:c>
      <x:c r="E6" s="35" t="n">
        <x:f>IF(D6&lt;=MIN('Исходные кривые'!$B$4:$L$4),INDEX('Исходные кривые'!$B$5:$L$5,1,1),IF(D6&gt;=MAX('Исходные кривые'!$B$4:$L$4),INDEX('Исходные кривые'!$B$5:$L$5,1,COLUMNS('Исходные кривые'!$B$5:$L$5)),INDEX('Исходные кривые'!$B$5:$L$5,1,MATCH(D6,'Исходные кривые'!$B$4:$L$4,1))+(D6-INDEX('Исходные кривые'!$B$4:$L$4,1,MATCH(D6,'Исходные кривые'!$B$4:$L$4,1)))*(INDEX('Исходные кривые'!$B$5:$L$5,1,MATCH(D6,'Исходные кривые'!$B$4:$L$4,1)+1)-INDEX('Исходные кривые'!$B$5:$L$5,1,MATCH(D6,'Исходные кривые'!$B$4:$L$4,1)))/(INDEX('Исходные кривые'!$B$4:$L$4,1,MATCH(D6,'Исходные кривые'!$B$4:$L$4,1)+1)-INDEX('Исходные кривые'!$B$4:$L$4,1,MATCH(D6,'Исходные кривые'!$B$4:$L$4,1)))))</x:f>
        <x:v>13.871643835616437</x:v>
      </x:c>
      <x:c r="F6" s="35" t="n">
        <x:f>IF(D6&lt;=MIN('Исходные кривые'!$B$8:$N$8),INDEX('Исходные кривые'!$B$9:$N$9,1,1),IF(D6&gt;=MAX('Исходные кривые'!$B$8:$N$8),INDEX('Исходные кривые'!$B$9:$N$9,1,COLUMNS('Исходные кривые'!$B$9:$N$9)),INDEX('Исходные кривые'!$B$9:$N$9,1,MATCH(D6,'Исходные кривые'!$B$8:$N$8,1))+(D6-INDEX('Исходные кривые'!$B$8:$N$8,1,MATCH(D6,'Исходные кривые'!$B$8:$N$8,1)))*(INDEX('Исходные кривые'!$B$9:$N$9,1,MATCH(D6,'Исходные кривые'!$B$8:$N$8,1)+1)-INDEX('Исходные кривые'!$B$9:$N$9,1,MATCH(D6,'Исходные кривые'!$B$8:$N$8,1)))/(INDEX('Исходные кривые'!$B$8:$N$8,1,MATCH(D6,'Исходные кривые'!$B$8:$N$8,1)+1)-INDEX('Исходные кривые'!$B$8:$N$8,1,MATCH(D6,'Исходные кривые'!$B$8:$N$8,1)))))</x:f>
        <x:v>15.871643835616437</x:v>
      </x:c>
      <x:c r="G6" s="35" t="n">
        <x:f>IF(D6&lt;=MIN('Исходные кривые'!$B$12:$K$12),INDEX('Исходные кривые'!$B$13:$K$13,1,1),IF(D6&gt;=MAX('Исходные кривые'!$B$12:$K$12),INDEX('Исходные кривые'!$B$13:$K$13,1,COLUMNS('Исходные кривые'!$B$13:$K$13)),INDEX('Исходные кривые'!$B$13:$K$13,1,MATCH(D6,'Исходные кривые'!$B$12:$K$12,1))+(D6-INDEX('Исходные кривые'!$B$12:$K$12,1,MATCH(D6,'Исходные кривые'!$B$12:$K$12,1)))*(INDEX('Исходные кривые'!$B$13:$K$13,1,MATCH(D6,'Исходные кривые'!$B$12:$K$12,1)+1)-INDEX('Исходные кривые'!$B$13:$K$13,1,MATCH(D6,'Исходные кривые'!$B$12:$K$12,1)))/(INDEX('Исходные кривые'!$B$12:$K$12,1,MATCH(D6,'Исходные кривые'!$B$12:$K$12,1)+1)-INDEX('Исходные кривые'!$B$12:$K$12,1,MATCH(D6,'Исходные кривые'!$B$12:$K$12,1)))))</x:f>
        <x:v>54.9972602739726</x:v>
      </x:c>
      <x:c r="H6" s="35" t="n">
        <x:f>IF(D6&lt;=MIN('Исходные кривые'!$B$12:$K$12),INDEX('Исходные кривые'!$B$14:$K$14,1,1),IF(D6&gt;=MAX('Исходные кривые'!$B$12:$K$12),INDEX('Исходные кривые'!$B$14:$K$14,1,COLUMNS('Исходные кривые'!$B$14:$K$14)),INDEX('Исходные кривые'!$B$14:$K$14,1,MATCH(D6,'Исходные кривые'!$B$12:$K$12,1))+(D6-INDEX('Исходные кривые'!$B$12:$K$12,1,MATCH(D6,'Исходные кривые'!$B$12:$K$12,1)))*(INDEX('Исходные кривые'!$B$14:$K$14,1,MATCH(D6,'Исходные кривые'!$B$12:$K$12,1)+1)-INDEX('Исходные кривые'!$B$14:$K$14,1,MATCH(D6,'Исходные кривые'!$B$12:$K$12,1)))/(INDEX('Исходные кривые'!$B$12:$K$12,1,MATCH(D6,'Исходные кривые'!$B$12:$K$12,1)+1)-INDEX('Исходные кривые'!$B$12:$K$12,1,MATCH(D6,'Исходные кривые'!$B$12:$K$12,1)))))</x:f>
        <x:v>-28.997260273972604</x:v>
      </x:c>
      <x:c r="I6" s="35" t="n">
        <x:f>IF(D6&lt;=MIN('Исходные кривые'!$B$17:$L$17),INDEX('Исходные кривые'!$B$18:$L$18,1,1),IF(D6&gt;=MAX('Исходные кривые'!$B$17:$L$17),INDEX('Исходные кривые'!$B$18:$L$18,1,COLUMNS('Исходные кривые'!$B$18:$L$18)),INDEX('Исходные кривые'!$B$18:$L$18,1,MATCH(D6,'Исходные кривые'!$B$17:$L$17,1))+(D6-INDEX('Исходные кривые'!$B$17:$L$17,1,MATCH(D6,'Исходные кривые'!$B$17:$L$17,1)))*(INDEX('Исходные кривые'!$B$18:$L$18,1,MATCH(D6,'Исходные кривые'!$B$17:$L$17,1)+1)-INDEX('Исходные кривые'!$B$18:$L$18,1,MATCH(D6,'Исходные кривые'!$B$17:$L$17,1)))/(INDEX('Исходные кривые'!$B$17:$L$17,1,MATCH(D6,'Исходные кривые'!$B$17:$L$17,1)+1)-INDEX('Исходные кривые'!$B$17:$L$17,1,MATCH(D6,'Исходные кривые'!$B$17:$L$17,1)))))</x:f>
        <x:v>7.247671232876712</x:v>
      </x:c>
      <x:c r="J6" s="35" t="n">
        <x:f>IF(D6&lt;=MIN('Исходные кривые'!$B$17:$L$17),INDEX('Исходные кривые'!$B$19:$L$19,1,1),IF(D6&gt;=MAX('Исходные кривые'!$B$17:$L$17),INDEX('Исходные кривые'!$B$19:$L$19,1,COLUMNS('Исходные кривые'!$B$19:$L$19)),INDEX('Исходные кривые'!$B$19:$L$19,1,MATCH(D6,'Исходные кривые'!$B$17:$L$17,1))+(D6-INDEX('Исходные кривые'!$B$17:$L$17,1,MATCH(D6,'Исходные кривые'!$B$17:$L$17,1)))*(INDEX('Исходные кривые'!$B$19:$L$19,1,MATCH(D6,'Исходные кривые'!$B$17:$L$17,1)+1)-INDEX('Исходные кривые'!$B$19:$L$19,1,MATCH(D6,'Исходные кривые'!$B$17:$L$17,1)))/(INDEX('Исходные кривые'!$B$17:$L$17,1,MATCH(D6,'Исходные кривые'!$B$17:$L$17,1)+1)-INDEX('Исходные кривые'!$B$17:$L$17,1,MATCH(D6,'Исходные кривые'!$B$17:$L$17,1)))))</x:f>
        <x:v>-4.697123287671233</x:v>
      </x:c>
    </x:row>
    <x:row r="7">
      <x:c r="A7" s="32" t="str">
        <x:v>Годовые даты</x:v>
      </x:c>
      <x:c r="B7" s="33" t="n">
        <x:v>47299</x:v>
      </x:c>
      <x:c r="C7" s="34" t="n">
        <x:f>B7-'Настройки'!$B$4</x:f>
        <x:v>1096</x:v>
      </x:c>
      <x:c r="D7" s="35" t="n">
        <x:f>C7/'Настройки'!$B$5</x:f>
        <x:v>3.0027397260273974</x:v>
      </x:c>
      <x:c r="E7" s="35" t="n">
        <x:f>IF(D7&lt;=MIN('Исходные кривые'!$B$4:$L$4),INDEX('Исходные кривые'!$B$5:$L$5,1,1),IF(D7&gt;=MAX('Исходные кривые'!$B$4:$L$4),INDEX('Исходные кривые'!$B$5:$L$5,1,COLUMNS('Исходные кривые'!$B$5:$L$5)),INDEX('Исходные кривые'!$B$5:$L$5,1,MATCH(D7,'Исходные кривые'!$B$4:$L$4,1))+(D7-INDEX('Исходные кривые'!$B$4:$L$4,1,MATCH(D7,'Исходные кривые'!$B$4:$L$4,1)))*(INDEX('Исходные кривые'!$B$5:$L$5,1,MATCH(D7,'Исходные кривые'!$B$4:$L$4,1)+1)-INDEX('Исходные кривые'!$B$5:$L$5,1,MATCH(D7,'Исходные кривые'!$B$4:$L$4,1)))/(INDEX('Исходные кривые'!$B$4:$L$4,1,MATCH(D7,'Исходные кривые'!$B$4:$L$4,1)+1)-INDEX('Исходные кривые'!$B$4:$L$4,1,MATCH(D7,'Исходные кривые'!$B$4:$L$4,1)))))</x:f>
        <x:v>14.471301369863014</x:v>
      </x:c>
      <x:c r="F7" s="35" t="n">
        <x:f>IF(D7&lt;=MIN('Исходные кривые'!$B$8:$N$8),INDEX('Исходные кривые'!$B$9:$N$9,1,1),IF(D7&gt;=MAX('Исходные кривые'!$B$8:$N$8),INDEX('Исходные кривые'!$B$9:$N$9,1,COLUMNS('Исходные кривые'!$B$9:$N$9)),INDEX('Исходные кривые'!$B$9:$N$9,1,MATCH(D7,'Исходные кривые'!$B$8:$N$8,1))+(D7-INDEX('Исходные кривые'!$B$8:$N$8,1,MATCH(D7,'Исходные кривые'!$B$8:$N$8,1)))*(INDEX('Исходные кривые'!$B$9:$N$9,1,MATCH(D7,'Исходные кривые'!$B$8:$N$8,1)+1)-INDEX('Исходные кривые'!$B$9:$N$9,1,MATCH(D7,'Исходные кривые'!$B$8:$N$8,1)))/(INDEX('Исходные кривые'!$B$8:$N$8,1,MATCH(D7,'Исходные кривые'!$B$8:$N$8,1)+1)-INDEX('Исходные кривые'!$B$8:$N$8,1,MATCH(D7,'Исходные кривые'!$B$8:$N$8,1)))))</x:f>
        <x:v>16.471301369863014</x:v>
      </x:c>
      <x:c r="G7" s="35" t="n">
        <x:f>IF(D7&lt;=MIN('Исходные кривые'!$B$12:$K$12),INDEX('Исходные кривые'!$B$13:$K$13,1,1),IF(D7&gt;=MAX('Исходные кривые'!$B$12:$K$12),INDEX('Исходные кривые'!$B$13:$K$13,1,COLUMNS('Исходные кривые'!$B$13:$K$13)),INDEX('Исходные кривые'!$B$13:$K$13,1,MATCH(D7,'Исходные кривые'!$B$12:$K$12,1))+(D7-INDEX('Исходные кривые'!$B$12:$K$12,1,MATCH(D7,'Исходные кривые'!$B$12:$K$12,1)))*(INDEX('Исходные кривые'!$B$13:$K$13,1,MATCH(D7,'Исходные кривые'!$B$12:$K$12,1)+1)-INDEX('Исходные кривые'!$B$13:$K$13,1,MATCH(D7,'Исходные кривые'!$B$12:$K$12,1)))/(INDEX('Исходные кривые'!$B$12:$K$12,1,MATCH(D7,'Исходные кривые'!$B$12:$K$12,1)+1)-INDEX('Исходные кривые'!$B$12:$K$12,1,MATCH(D7,'Исходные кривые'!$B$12:$K$12,1)))))</x:f>
        <x:v>53.99178082191781</x:v>
      </x:c>
      <x:c r="H7" s="35" t="n">
        <x:f>IF(D7&lt;=MIN('Исходные кривые'!$B$12:$K$12),INDEX('Исходные кривые'!$B$14:$K$14,1,1),IF(D7&gt;=MAX('Исходные кривые'!$B$12:$K$12),INDEX('Исходные кривые'!$B$14:$K$14,1,COLUMNS('Исходные кривые'!$B$14:$K$14)),INDEX('Исходные кривые'!$B$14:$K$14,1,MATCH(D7,'Исходные кривые'!$B$12:$K$12,1))+(D7-INDEX('Исходные кривые'!$B$12:$K$12,1,MATCH(D7,'Исходные кривые'!$B$12:$K$12,1)))*(INDEX('Исходные кривые'!$B$14:$K$14,1,MATCH(D7,'Исходные кривые'!$B$12:$K$12,1)+1)-INDEX('Исходные кривые'!$B$14:$K$14,1,MATCH(D7,'Исходные кривые'!$B$12:$K$12,1)))/(INDEX('Исходные кривые'!$B$12:$K$12,1,MATCH(D7,'Исходные кривые'!$B$12:$K$12,1)+1)-INDEX('Исходные кривые'!$B$12:$K$12,1,MATCH(D7,'Исходные кривые'!$B$12:$K$12,1)))))</x:f>
        <x:v>-27.9986301369863</x:v>
      </x:c>
      <x:c r="I7" s="35" t="n">
        <x:f>IF(D7&lt;=MIN('Исходные кривые'!$B$17:$L$17),INDEX('Исходные кривые'!$B$18:$L$18,1,1),IF(D7&gt;=MAX('Исходные кривые'!$B$17:$L$17),INDEX('Исходные кривые'!$B$18:$L$18,1,COLUMNS('Исходные кривые'!$B$18:$L$18)),INDEX('Исходные кривые'!$B$18:$L$18,1,MATCH(D7,'Исходные кривые'!$B$17:$L$17,1))+(D7-INDEX('Исходные кривые'!$B$17:$L$17,1,MATCH(D7,'Исходные кривые'!$B$17:$L$17,1)))*(INDEX('Исходные кривые'!$B$18:$L$18,1,MATCH(D7,'Исходные кривые'!$B$17:$L$17,1)+1)-INDEX('Исходные кривые'!$B$18:$L$18,1,MATCH(D7,'Исходные кривые'!$B$17:$L$17,1)))/(INDEX('Исходные кривые'!$B$17:$L$17,1,MATCH(D7,'Исходные кривые'!$B$17:$L$17,1)+1)-INDEX('Исходные кривые'!$B$17:$L$17,1,MATCH(D7,'Исходные кривые'!$B$17:$L$17,1)))))</x:f>
        <x:v>6.399315068493151</x:v>
      </x:c>
      <x:c r="J7" s="35" t="n">
        <x:f>IF(D7&lt;=MIN('Исходные кривые'!$B$17:$L$17),INDEX('Исходные кривые'!$B$19:$L$19,1,1),IF(D7&gt;=MAX('Исходные кривые'!$B$17:$L$17),INDEX('Исходные кривые'!$B$19:$L$19,1,COLUMNS('Исходные кривые'!$B$19:$L$19)),INDEX('Исходные кривые'!$B$19:$L$19,1,MATCH(D7,'Исходные кривые'!$B$17:$L$17,1))+(D7-INDEX('Исходные кривые'!$B$17:$L$17,1,MATCH(D7,'Исходные кривые'!$B$17:$L$17,1)))*(INDEX('Исходные кривые'!$B$19:$L$19,1,MATCH(D7,'Исходные кривые'!$B$17:$L$17,1)+1)-INDEX('Исходные кривые'!$B$19:$L$19,1,MATCH(D7,'Исходные кривые'!$B$17:$L$17,1)))/(INDEX('Исходные кривые'!$B$17:$L$17,1,MATCH(D7,'Исходные кривые'!$B$17:$L$17,1)+1)-INDEX('Исходные кривые'!$B$17:$L$17,1,MATCH(D7,'Исходные кривые'!$B$17:$L$17,1)))))</x:f>
        <x:v>-3.647808219178082</x:v>
      </x:c>
    </x:row>
    <x:row r="8">
      <x:c r="A8" s="32" t="str">
        <x:v>Годовые даты</x:v>
      </x:c>
      <x:c r="B8" s="33" t="n">
        <x:v>47664</x:v>
      </x:c>
      <x:c r="C8" s="34" t="n">
        <x:f>B8-'Настройки'!$B$4</x:f>
        <x:v>1461</x:v>
      </x:c>
      <x:c r="D8" s="35" t="n">
        <x:f>C8/'Настройки'!$B$5</x:f>
        <x:v>4.002739726027397</x:v>
      </x:c>
      <x:c r="E8" s="35" t="n">
        <x:f>IF(D8&lt;=MIN('Исходные кривые'!$B$4:$L$4),INDEX('Исходные кривые'!$B$5:$L$5,1,1),IF(D8&gt;=MAX('Исходные кривые'!$B$4:$L$4),INDEX('Исходные кривые'!$B$5:$L$5,1,COLUMNS('Исходные кривые'!$B$5:$L$5)),INDEX('Исходные кривые'!$B$5:$L$5,1,MATCH(D8,'Исходные кривые'!$B$4:$L$4,1))+(D8-INDEX('Исходные кривые'!$B$4:$L$4,1,MATCH(D8,'Исходные кривые'!$B$4:$L$4,1)))*(INDEX('Исходные кривые'!$B$5:$L$5,1,MATCH(D8,'Исходные кривые'!$B$4:$L$4,1)+1)-INDEX('Исходные кривые'!$B$5:$L$5,1,MATCH(D8,'Исходные кривые'!$B$4:$L$4,1)))/(INDEX('Исходные кривые'!$B$4:$L$4,1,MATCH(D8,'Исходные кривые'!$B$4:$L$4,1)+1)-INDEX('Исходные кривые'!$B$4:$L$4,1,MATCH(D8,'Исходные кривые'!$B$4:$L$4,1)))))</x:f>
        <x:v>14.946301369863015</x:v>
      </x:c>
      <x:c r="F8" s="35" t="n">
        <x:f>IF(D8&lt;=MIN('Исходные кривые'!$B$8:$N$8),INDEX('Исходные кривые'!$B$9:$N$9,1,1),IF(D8&gt;=MAX('Исходные кривые'!$B$8:$N$8),INDEX('Исходные кривые'!$B$9:$N$9,1,COLUMNS('Исходные кривые'!$B$9:$N$9)),INDEX('Исходные кривые'!$B$9:$N$9,1,MATCH(D8,'Исходные кривые'!$B$8:$N$8,1))+(D8-INDEX('Исходные кривые'!$B$8:$N$8,1,MATCH(D8,'Исходные кривые'!$B$8:$N$8,1)))*(INDEX('Исходные кривые'!$B$9:$N$9,1,MATCH(D8,'Исходные кривые'!$B$8:$N$8,1)+1)-INDEX('Исходные кривые'!$B$9:$N$9,1,MATCH(D8,'Исходные кривые'!$B$8:$N$8,1)))/(INDEX('Исходные кривые'!$B$8:$N$8,1,MATCH(D8,'Исходные кривые'!$B$8:$N$8,1)+1)-INDEX('Исходные кривые'!$B$8:$N$8,1,MATCH(D8,'Исходные кривые'!$B$8:$N$8,1)))))</x:f>
        <x:v>16.946301369863015</x:v>
      </x:c>
      <x:c r="G8" s="35" t="n">
        <x:f>IF(D8&lt;=MIN('Исходные кривые'!$B$12:$K$12),INDEX('Исходные кривые'!$B$13:$K$13,1,1),IF(D8&gt;=MAX('Исходные кривые'!$B$12:$K$12),INDEX('Исходные кривые'!$B$13:$K$13,1,COLUMNS('Исходные кривые'!$B$13:$K$13)),INDEX('Исходные кривые'!$B$13:$K$13,1,MATCH(D8,'Исходные кривые'!$B$12:$K$12,1))+(D8-INDEX('Исходные кривые'!$B$12:$K$12,1,MATCH(D8,'Исходные кривые'!$B$12:$K$12,1)))*(INDEX('Исходные кривые'!$B$13:$K$13,1,MATCH(D8,'Исходные кривые'!$B$12:$K$12,1)+1)-INDEX('Исходные кривые'!$B$13:$K$13,1,MATCH(D8,'Исходные кривые'!$B$12:$K$12,1)))/(INDEX('Исходные кривые'!$B$12:$K$12,1,MATCH(D8,'Исходные кривые'!$B$12:$K$12,1)+1)-INDEX('Исходные кривые'!$B$12:$K$12,1,MATCH(D8,'Исходные кривые'!$B$12:$K$12,1)))))</x:f>
        <x:v>50.99178082191781</x:v>
      </x:c>
      <x:c r="H8" s="35" t="n">
        <x:f>IF(D8&lt;=MIN('Исходные кривые'!$B$12:$K$12),INDEX('Исходные кривые'!$B$14:$K$14,1,1),IF(D8&gt;=MAX('Исходные кривые'!$B$12:$K$12),INDEX('Исходные кривые'!$B$14:$K$14,1,COLUMNS('Исходные кривые'!$B$14:$K$14)),INDEX('Исходные кривые'!$B$14:$K$14,1,MATCH(D8,'Исходные кривые'!$B$12:$K$12,1))+(D8-INDEX('Исходные кривые'!$B$12:$K$12,1,MATCH(D8,'Исходные кривые'!$B$12:$K$12,1)))*(INDEX('Исходные кривые'!$B$14:$K$14,1,MATCH(D8,'Исходные кривые'!$B$12:$K$12,1)+1)-INDEX('Исходные кривые'!$B$14:$K$14,1,MATCH(D8,'Исходные кривые'!$B$12:$K$12,1)))/(INDEX('Исходные кривые'!$B$12:$K$12,1,MATCH(D8,'Исходные кривые'!$B$12:$K$12,1)+1)-INDEX('Исходные кривые'!$B$12:$K$12,1,MATCH(D8,'Исходные кривые'!$B$12:$K$12,1)))))</x:f>
        <x:v>-27.4986301369863</x:v>
      </x:c>
      <x:c r="I8" s="35" t="n">
        <x:f>IF(D8&lt;=MIN('Исходные кривые'!$B$17:$L$17),INDEX('Исходные кривые'!$B$18:$L$18,1,1),IF(D8&gt;=MAX('Исходные кривые'!$B$17:$L$17),INDEX('Исходные кривые'!$B$18:$L$18,1,COLUMNS('Исходные кривые'!$B$18:$L$18)),INDEX('Исходные кривые'!$B$18:$L$18,1,MATCH(D8,'Исходные кривые'!$B$17:$L$17,1))+(D8-INDEX('Исходные кривые'!$B$17:$L$17,1,MATCH(D8,'Исходные кривые'!$B$17:$L$17,1)))*(INDEX('Исходные кривые'!$B$18:$L$18,1,MATCH(D8,'Исходные кривые'!$B$17:$L$17,1)+1)-INDEX('Исходные кривые'!$B$18:$L$18,1,MATCH(D8,'Исходные кривые'!$B$17:$L$17,1)))/(INDEX('Исходные кривые'!$B$17:$L$17,1,MATCH(D8,'Исходные кривые'!$B$17:$L$17,1)+1)-INDEX('Исходные кривые'!$B$17:$L$17,1,MATCH(D8,'Исходные кривые'!$B$17:$L$17,1)))))</x:f>
        <x:v>6.147945205479452</x:v>
      </x:c>
      <x:c r="J8" s="35" t="n">
        <x:f>IF(D8&lt;=MIN('Исходные кривые'!$B$17:$L$17),INDEX('Исходные кривые'!$B$19:$L$19,1,1),IF(D8&gt;=MAX('Исходные кривые'!$B$17:$L$17),INDEX('Исходные кривые'!$B$19:$L$19,1,COLUMNS('Исходные кривые'!$B$19:$L$19)),INDEX('Исходные кривые'!$B$19:$L$19,1,MATCH(D8,'Исходные кривые'!$B$17:$L$17,1))+(D8-INDEX('Исходные кривые'!$B$17:$L$17,1,MATCH(D8,'Исходные кривые'!$B$17:$L$17,1)))*(INDEX('Исходные кривые'!$B$19:$L$19,1,MATCH(D8,'Исходные кривые'!$B$17:$L$17,1)+1)-INDEX('Исходные кривые'!$B$19:$L$19,1,MATCH(D8,'Исходные кривые'!$B$17:$L$17,1)))/(INDEX('Исходные кривые'!$B$17:$L$17,1,MATCH(D8,'Исходные кривые'!$B$17:$L$17,1)+1)-INDEX('Исходные кривые'!$B$17:$L$17,1,MATCH(D8,'Исходные кривые'!$B$17:$L$17,1)))))</x:f>
        <x:v>-2.8473972602739726</x:v>
      </x:c>
    </x:row>
    <x:row r="9">
      <x:c r="A9" s="32" t="str">
        <x:v>Годовые даты</x:v>
      </x:c>
      <x:c r="B9" s="33" t="n">
        <x:v>48029</x:v>
      </x:c>
      <x:c r="C9" s="34" t="n">
        <x:f>B9-'Настройки'!$B$4</x:f>
        <x:v>1826</x:v>
      </x:c>
      <x:c r="D9" s="35" t="n">
        <x:f>C9/'Настройки'!$B$5</x:f>
        <x:v>5.002739726027397</x:v>
      </x:c>
      <x:c r="E9" s="35" t="n">
        <x:f>IF(D9&lt;=MIN('Исходные кривые'!$B$4:$L$4),INDEX('Исходные кривые'!$B$5:$L$5,1,1),IF(D9&gt;=MAX('Исходные кривые'!$B$4:$L$4),INDEX('Исходные кривые'!$B$5:$L$5,1,COLUMNS('Исходные кривые'!$B$5:$L$5)),INDEX('Исходные кривые'!$B$5:$L$5,1,MATCH(D9,'Исходные кривые'!$B$4:$L$4,1))+(D9-INDEX('Исходные кривые'!$B$4:$L$4,1,MATCH(D9,'Исходные кривые'!$B$4:$L$4,1)))*(INDEX('Исходные кривые'!$B$5:$L$5,1,MATCH(D9,'Исходные кривые'!$B$4:$L$4,1)+1)-INDEX('Исходные кривые'!$B$5:$L$5,1,MATCH(D9,'Исходные кривые'!$B$4:$L$4,1)))/(INDEX('Исходные кривые'!$B$4:$L$4,1,MATCH(D9,'Исходные кривые'!$B$4:$L$4,1)+1)-INDEX('Исходные кривые'!$B$4:$L$4,1,MATCH(D9,'Исходные кривые'!$B$4:$L$4,1)))))</x:f>
        <x:v>15.420767123287671</x:v>
      </x:c>
      <x:c r="F9" s="35" t="n">
        <x:f>IF(D9&lt;=MIN('Исходные кривые'!$B$8:$N$8),INDEX('Исходные кривые'!$B$9:$N$9,1,1),IF(D9&gt;=MAX('Исходные кривые'!$B$8:$N$8),INDEX('Исходные кривые'!$B$9:$N$9,1,COLUMNS('Исходные кривые'!$B$9:$N$9)),INDEX('Исходные кривые'!$B$9:$N$9,1,MATCH(D9,'Исходные кривые'!$B$8:$N$8,1))+(D9-INDEX('Исходные кривые'!$B$8:$N$8,1,MATCH(D9,'Исходные кривые'!$B$8:$N$8,1)))*(INDEX('Исходные кривые'!$B$9:$N$9,1,MATCH(D9,'Исходные кривые'!$B$8:$N$8,1)+1)-INDEX('Исходные кривые'!$B$9:$N$9,1,MATCH(D9,'Исходные кривые'!$B$8:$N$8,1)))/(INDEX('Исходные кривые'!$B$8:$N$8,1,MATCH(D9,'Исходные кривые'!$B$8:$N$8,1)+1)-INDEX('Исходные кривые'!$B$8:$N$8,1,MATCH(D9,'Исходные кривые'!$B$8:$N$8,1)))))</x:f>
        <x:v>17.42076712328767</x:v>
      </x:c>
      <x:c r="G9" s="35" t="n">
        <x:f>IF(D9&lt;=MIN('Исходные кривые'!$B$12:$K$12),INDEX('Исходные кривые'!$B$13:$K$13,1,1),IF(D9&gt;=MAX('Исходные кривые'!$B$12:$K$12),INDEX('Исходные кривые'!$B$13:$K$13,1,COLUMNS('Исходные кривые'!$B$13:$K$13)),INDEX('Исходные кривые'!$B$13:$K$13,1,MATCH(D9,'Исходные кривые'!$B$12:$K$12,1))+(D9-INDEX('Исходные кривые'!$B$12:$K$12,1,MATCH(D9,'Исходные кривые'!$B$12:$K$12,1)))*(INDEX('Исходные кривые'!$B$13:$K$13,1,MATCH(D9,'Исходные кривые'!$B$12:$K$12,1)+1)-INDEX('Исходные кривые'!$B$13:$K$13,1,MATCH(D9,'Исходные кривые'!$B$12:$K$12,1)))/(INDEX('Исходные кривые'!$B$12:$K$12,1,MATCH(D9,'Исходные кривые'!$B$12:$K$12,1)+1)-INDEX('Исходные кривые'!$B$12:$K$12,1,MATCH(D9,'Исходные кривые'!$B$12:$K$12,1)))))</x:f>
        <x:v>47.99178082191781</x:v>
      </x:c>
      <x:c r="H9" s="35" t="n">
        <x:f>IF(D9&lt;=MIN('Исходные кривые'!$B$12:$K$12),INDEX('Исходные кривые'!$B$14:$K$14,1,1),IF(D9&gt;=MAX('Исходные кривые'!$B$12:$K$12),INDEX('Исходные кривые'!$B$14:$K$14,1,COLUMNS('Исходные кривые'!$B$14:$K$14)),INDEX('Исходные кривые'!$B$14:$K$14,1,MATCH(D9,'Исходные кривые'!$B$12:$K$12,1))+(D9-INDEX('Исходные кривые'!$B$12:$K$12,1,MATCH(D9,'Исходные кривые'!$B$12:$K$12,1)))*(INDEX('Исходные кривые'!$B$14:$K$14,1,MATCH(D9,'Исходные кривые'!$B$12:$K$12,1)+1)-INDEX('Исходные кривые'!$B$14:$K$14,1,MATCH(D9,'Исходные кривые'!$B$12:$K$12,1)))/(INDEX('Исходные кривые'!$B$12:$K$12,1,MATCH(D9,'Исходные кривые'!$B$12:$K$12,1)+1)-INDEX('Исходные кривые'!$B$12:$K$12,1,MATCH(D9,'Исходные кривые'!$B$12:$K$12,1)))))</x:f>
        <x:v>-26.9986301369863</x:v>
      </x:c>
      <x:c r="I9" s="35" t="n">
        <x:f>IF(D9&lt;=MIN('Исходные кривые'!$B$17:$L$17),INDEX('Исходные кривые'!$B$18:$L$18,1,1),IF(D9&gt;=MAX('Исходные кривые'!$B$17:$L$17),INDEX('Исходные кривые'!$B$18:$L$18,1,COLUMNS('Исходные кривые'!$B$18:$L$18)),INDEX('Исходные кривые'!$B$18:$L$18,1,MATCH(D9,'Исходные кривые'!$B$17:$L$17,1))+(D9-INDEX('Исходные кривые'!$B$17:$L$17,1,MATCH(D9,'Исходные кривые'!$B$17:$L$17,1)))*(INDEX('Исходные кривые'!$B$18:$L$18,1,MATCH(D9,'Исходные кривые'!$B$17:$L$17,1)+1)-INDEX('Исходные кривые'!$B$18:$L$18,1,MATCH(D9,'Исходные кривые'!$B$17:$L$17,1)))/(INDEX('Исходные кривые'!$B$17:$L$17,1,MATCH(D9,'Исходные кривые'!$B$17:$L$17,1)+1)-INDEX('Исходные кривые'!$B$17:$L$17,1,MATCH(D9,'Исходные кривые'!$B$17:$L$17,1)))))</x:f>
        <x:v>5.4</x:v>
      </x:c>
      <x:c r="J9" s="35" t="n">
        <x:f>IF(D9&lt;=MIN('Исходные кривые'!$B$17:$L$17),INDEX('Исходные кривые'!$B$19:$L$19,1,1),IF(D9&gt;=MAX('Исходные кривые'!$B$17:$L$17),INDEX('Исходные кривые'!$B$19:$L$19,1,COLUMNS('Исходные кривые'!$B$19:$L$19)),INDEX('Исходные кривые'!$B$19:$L$19,1,MATCH(D9,'Исходные кривые'!$B$17:$L$17,1))+(D9-INDEX('Исходные кривые'!$B$17:$L$17,1,MATCH(D9,'Исходные кривые'!$B$17:$L$17,1)))*(INDEX('Исходные кривые'!$B$19:$L$19,1,MATCH(D9,'Исходные кривые'!$B$17:$L$17,1)+1)-INDEX('Исходные кривые'!$B$19:$L$19,1,MATCH(D9,'Исходные кривые'!$B$17:$L$17,1)))/(INDEX('Исходные кривые'!$B$17:$L$17,1,MATCH(D9,'Исходные кривые'!$B$17:$L$17,1)+1)-INDEX('Исходные кривые'!$B$17:$L$17,1,MATCH(D9,'Исходные кривые'!$B$17:$L$17,1)))))</x:f>
        <x:v>-1.9</x:v>
      </x:c>
    </x:row>
    <x:row r="10">
      <x:c r="A10" s="36" t="str">
        <x:v>Купонные даты</x:v>
      </x:c>
      <x:c r="B10" s="37" t="n">
        <x:v>46414</x:v>
      </x:c>
      <x:c r="C10" s="38" t="n">
        <x:f>B10-'Настройки'!$B$4</x:f>
        <x:v>211</x:v>
      </x:c>
      <x:c r="D10" s="39" t="n">
        <x:f>C10/'Настройки'!$B$5</x:f>
        <x:v>0.5780821917808219</x:v>
      </x:c>
      <x:c r="E10" s="39" t="n">
        <x:f>IF(D10&lt;=MIN('Исходные кривые'!$B$4:$L$4),INDEX('Исходные кривые'!$B$5:$L$5,1,1),IF(D10&gt;=MAX('Исходные кривые'!$B$4:$L$4),INDEX('Исходные кривые'!$B$5:$L$5,1,COLUMNS('Исходные кривые'!$B$5:$L$5)),INDEX('Исходные кривые'!$B$5:$L$5,1,MATCH(D10,'Исходные кривые'!$B$4:$L$4,1))+(D10-INDEX('Исходные кривые'!$B$4:$L$4,1,MATCH(D10,'Исходные кривые'!$B$4:$L$4,1)))*(INDEX('Исходные кривые'!$B$5:$L$5,1,MATCH(D10,'Исходные кривые'!$B$4:$L$4,1)+1)-INDEX('Исходные кривые'!$B$5:$L$5,1,MATCH(D10,'Исходные кривые'!$B$4:$L$4,1)))/(INDEX('Исходные кривые'!$B$4:$L$4,1,MATCH(D10,'Исходные кривые'!$B$4:$L$4,1)+1)-INDEX('Исходные кривые'!$B$4:$L$4,1,MATCH(D10,'Исходные кривые'!$B$4:$L$4,1)))))</x:f>
        <x:v>13.424383561643836</x:v>
      </x:c>
      <x:c r="F10" s="39" t="n">
        <x:f>IF(D10&lt;=MIN('Исходные кривые'!$B$8:$N$8),INDEX('Исходные кривые'!$B$9:$N$9,1,1),IF(D10&gt;=MAX('Исходные кривые'!$B$8:$N$8),INDEX('Исходные кривые'!$B$9:$N$9,1,COLUMNS('Исходные кривые'!$B$9:$N$9)),INDEX('Исходные кривые'!$B$9:$N$9,1,MATCH(D10,'Исходные кривые'!$B$8:$N$8,1))+(D10-INDEX('Исходные кривые'!$B$8:$N$8,1,MATCH(D10,'Исходные кривые'!$B$8:$N$8,1)))*(INDEX('Исходные кривые'!$B$9:$N$9,1,MATCH(D10,'Исходные кривые'!$B$8:$N$8,1)+1)-INDEX('Исходные кривые'!$B$9:$N$9,1,MATCH(D10,'Исходные кривые'!$B$8:$N$8,1)))/(INDEX('Исходные кривые'!$B$8:$N$8,1,MATCH(D10,'Исходные кривые'!$B$8:$N$8,1)+1)-INDEX('Исходные кривые'!$B$8:$N$8,1,MATCH(D10,'Исходные кривые'!$B$8:$N$8,1)))))</x:f>
        <x:v>15.424383561643836</x:v>
      </x:c>
      <x:c r="G10" s="39" t="n">
        <x:f>IF(D10&lt;=MIN('Исходные кривые'!$B$12:$K$12),INDEX('Исходные кривые'!$B$13:$K$13,1,1),IF(D10&gt;=MAX('Исходные кривые'!$B$12:$K$12),INDEX('Исходные кривые'!$B$13:$K$13,1,COLUMNS('Исходные кривые'!$B$13:$K$13)),INDEX('Исходные кривые'!$B$13:$K$13,1,MATCH(D10,'Исходные кривые'!$B$12:$K$12,1))+(D10-INDEX('Исходные кривые'!$B$12:$K$12,1,MATCH(D10,'Исходные кривые'!$B$12:$K$12,1)))*(INDEX('Исходные кривые'!$B$13:$K$13,1,MATCH(D10,'Исходные кривые'!$B$12:$K$12,1)+1)-INDEX('Исходные кривые'!$B$13:$K$13,1,MATCH(D10,'Исходные кривые'!$B$12:$K$12,1)))/(INDEX('Исходные кривые'!$B$12:$K$12,1,MATCH(D10,'Исходные кривые'!$B$12:$K$12,1)+1)-INDEX('Исходные кривые'!$B$12:$K$12,1,MATCH(D10,'Исходные кривые'!$B$12:$K$12,1)))))</x:f>
        <x:v>58.843835616438355</x:v>
      </x:c>
      <x:c r="H10" s="39" t="n">
        <x:f>IF(D10&lt;=MIN('Исходные кривые'!$B$12:$K$12),INDEX('Исходные кривые'!$B$14:$K$14,1,1),IF(D10&gt;=MAX('Исходные кривые'!$B$12:$K$12),INDEX('Исходные кривые'!$B$14:$K$14,1,COLUMNS('Исходные кривые'!$B$14:$K$14)),INDEX('Исходные кривые'!$B$14:$K$14,1,MATCH(D10,'Исходные кривые'!$B$12:$K$12,1))+(D10-INDEX('Исходные кривые'!$B$12:$K$12,1,MATCH(D10,'Исходные кривые'!$B$12:$K$12,1)))*(INDEX('Исходные кривые'!$B$14:$K$14,1,MATCH(D10,'Исходные кривые'!$B$12:$K$12,1)+1)-INDEX('Исходные кривые'!$B$14:$K$14,1,MATCH(D10,'Исходные кривые'!$B$12:$K$12,1)))/(INDEX('Исходные кривые'!$B$12:$K$12,1,MATCH(D10,'Исходные кривые'!$B$12:$K$12,1)+1)-INDEX('Исходные кривые'!$B$12:$K$12,1,MATCH(D10,'Исходные кривые'!$B$12:$K$12,1)))))</x:f>
        <x:v>-34.37534246575343</x:v>
      </x:c>
      <x:c r="I10" s="39" t="n">
        <x:f>IF(D10&lt;=MIN('Исходные кривые'!$B$17:$L$17),INDEX('Исходные кривые'!$B$18:$L$18,1,1),IF(D10&gt;=MAX('Исходные кривые'!$B$17:$L$17),INDEX('Исходные кривые'!$B$18:$L$18,1,COLUMNS('Исходные кривые'!$B$18:$L$18)),INDEX('Исходные кривые'!$B$18:$L$18,1,MATCH(D10,'Исходные кривые'!$B$17:$L$17,1))+(D10-INDEX('Исходные кривые'!$B$17:$L$17,1,MATCH(D10,'Исходные кривые'!$B$17:$L$17,1)))*(INDEX('Исходные кривые'!$B$18:$L$18,1,MATCH(D10,'Исходные кривые'!$B$17:$L$17,1)+1)-INDEX('Исходные кривые'!$B$18:$L$18,1,MATCH(D10,'Исходные кривые'!$B$17:$L$17,1)))/(INDEX('Исходные кривые'!$B$17:$L$17,1,MATCH(D10,'Исходные кривые'!$B$17:$L$17,1)+1)-INDEX('Исходные кривые'!$B$17:$L$17,1,MATCH(D10,'Исходные кривые'!$B$17:$L$17,1)))))</x:f>
        <x:v>4.924931506849315</x:v>
      </x:c>
      <x:c r="J10" s="39" t="n">
        <x:f>IF(D10&lt;=MIN('Исходные кривые'!$B$17:$L$17),INDEX('Исходные кривые'!$B$19:$L$19,1,1),IF(D10&gt;=MAX('Исходные кривые'!$B$17:$L$17),INDEX('Исходные кривые'!$B$19:$L$19,1,COLUMNS('Исходные кривые'!$B$19:$L$19)),INDEX('Исходные кривые'!$B$19:$L$19,1,MATCH(D10,'Исходные кривые'!$B$17:$L$17,1))+(D10-INDEX('Исходные кривые'!$B$17:$L$17,1,MATCH(D10,'Исходные кривые'!$B$17:$L$17,1)))*(INDEX('Исходные кривые'!$B$19:$L$19,1,MATCH(D10,'Исходные кривые'!$B$17:$L$17,1)+1)-INDEX('Исходные кривые'!$B$19:$L$19,1,MATCH(D10,'Исходные кривые'!$B$17:$L$17,1)))/(INDEX('Исходные кривые'!$B$17:$L$17,1,MATCH(D10,'Исходные кривые'!$B$17:$L$17,1)+1)-INDEX('Исходные кривые'!$B$17:$L$17,1,MATCH(D10,'Исходные кривые'!$B$17:$L$17,1)))))</x:f>
        <x:v>-3.6467123287671233</x:v>
      </x:c>
    </x:row>
    <x:row r="11">
      <x:c r="A11" s="26" t="str">
        <x:v>Купонные даты</x:v>
      </x:c>
      <x:c r="B11" s="27" t="n">
        <x:v>46596</x:v>
      </x:c>
      <x:c r="C11" s="30" t="n">
        <x:f>B11-'Настройки'!$B$4</x:f>
        <x:v>393</x:v>
      </x:c>
      <x:c r="D11" s="31" t="n">
        <x:f>C11/'Настройки'!$B$5</x:f>
        <x:v>1.0767123287671232</x:v>
      </x:c>
      <x:c r="E11" s="31" t="n">
        <x:f>IF(D11&lt;=MIN('Исходные кривые'!$B$4:$L$4),INDEX('Исходные кривые'!$B$5:$L$5,1,1),IF(D11&gt;=MAX('Исходные кривые'!$B$4:$L$4),INDEX('Исходные кривые'!$B$5:$L$5,1,COLUMNS('Исходные кривые'!$B$5:$L$5)),INDEX('Исходные кривые'!$B$5:$L$5,1,MATCH(D11,'Исходные кривые'!$B$4:$L$4,1))+(D11-INDEX('Исходные кривые'!$B$4:$L$4,1,MATCH(D11,'Исходные кривые'!$B$4:$L$4,1)))*(INDEX('Исходные кривые'!$B$5:$L$5,1,MATCH(D11,'Исходные кривые'!$B$4:$L$4,1)+1)-INDEX('Исходные кривые'!$B$5:$L$5,1,MATCH(D11,'Исходные кривые'!$B$4:$L$4,1)))/(INDEX('Исходные кривые'!$B$4:$L$4,1,MATCH(D11,'Исходные кривые'!$B$4:$L$4,1)+1)-INDEX('Исходные кривые'!$B$4:$L$4,1,MATCH(D11,'Исходные кривые'!$B$4:$L$4,1)))))</x:f>
        <x:v>13.445287671232876</x:v>
      </x:c>
      <x:c r="F11" s="31" t="n">
        <x:f>IF(D11&lt;=MIN('Исходные кривые'!$B$8:$N$8),INDEX('Исходные кривые'!$B$9:$N$9,1,1),IF(D11&gt;=MAX('Исходные кривые'!$B$8:$N$8),INDEX('Исходные кривые'!$B$9:$N$9,1,COLUMNS('Исходные кривые'!$B$9:$N$9)),INDEX('Исходные кривые'!$B$9:$N$9,1,MATCH(D11,'Исходные кривые'!$B$8:$N$8,1))+(D11-INDEX('Исходные кривые'!$B$8:$N$8,1,MATCH(D11,'Исходные кривые'!$B$8:$N$8,1)))*(INDEX('Исходные кривые'!$B$9:$N$9,1,MATCH(D11,'Исходные кривые'!$B$8:$N$8,1)+1)-INDEX('Исходные кривые'!$B$9:$N$9,1,MATCH(D11,'Исходные кривые'!$B$8:$N$8,1)))/(INDEX('Исходные кривые'!$B$8:$N$8,1,MATCH(D11,'Исходные кривые'!$B$8:$N$8,1)+1)-INDEX('Исходные кривые'!$B$8:$N$8,1,MATCH(D11,'Исходные кривые'!$B$8:$N$8,1)))))</x:f>
        <x:v>15.445287671232876</x:v>
      </x:c>
      <x:c r="G11" s="31" t="n">
        <x:f>IF(D11&lt;=MIN('Исходные кривые'!$B$12:$K$12),INDEX('Исходные кривые'!$B$13:$K$13,1,1),IF(D11&gt;=MAX('Исходные кривые'!$B$12:$K$12),INDEX('Исходные кривые'!$B$13:$K$13,1,COLUMNS('Исходные кривые'!$B$13:$K$13)),INDEX('Исходные кривые'!$B$13:$K$13,1,MATCH(D11,'Исходные кривые'!$B$12:$K$12,1))+(D11-INDEX('Исходные кривые'!$B$12:$K$12,1,MATCH(D11,'Исходные кривые'!$B$12:$K$12,1)))*(INDEX('Исходные кривые'!$B$13:$K$13,1,MATCH(D11,'Исходные кривые'!$B$12:$K$12,1)+1)-INDEX('Исходные кривые'!$B$13:$K$13,1,MATCH(D11,'Исходные кривые'!$B$12:$K$12,1)))/(INDEX('Исходные кривые'!$B$12:$K$12,1,MATCH(D11,'Исходные кривые'!$B$12:$K$12,1)+1)-INDEX('Исходные кривые'!$B$12:$K$12,1,MATCH(D11,'Исходные кривые'!$B$12:$K$12,1)))))</x:f>
        <x:v>57.76986301369863</x:v>
      </x:c>
      <x:c r="H11" s="31" t="n">
        <x:f>IF(D11&lt;=MIN('Исходные кривые'!$B$12:$K$12),INDEX('Исходные кривые'!$B$14:$K$14,1,1),IF(D11&gt;=MAX('Исходные кривые'!$B$12:$K$12),INDEX('Исходные кривые'!$B$14:$K$14,1,COLUMNS('Исходные кривые'!$B$14:$K$14)),INDEX('Исходные кривые'!$B$14:$K$14,1,MATCH(D11,'Исходные кривые'!$B$12:$K$12,1))+(D11-INDEX('Исходные кривые'!$B$12:$K$12,1,MATCH(D11,'Исходные кривые'!$B$12:$K$12,1)))*(INDEX('Исходные кривые'!$B$14:$K$14,1,MATCH(D11,'Исходные кривые'!$B$12:$K$12,1)+1)-INDEX('Исходные кривые'!$B$14:$K$14,1,MATCH(D11,'Исходные кривые'!$B$12:$K$12,1)))/(INDEX('Исходные кривые'!$B$12:$K$12,1,MATCH(D11,'Исходные кривые'!$B$12:$K$12,1)+1)-INDEX('Исходные кривые'!$B$12:$K$12,1,MATCH(D11,'Исходные кривые'!$B$12:$K$12,1)))))</x:f>
        <x:v>-30.846575342465755</x:v>
      </x:c>
      <x:c r="I11" s="31" t="n">
        <x:f>IF(D11&lt;=MIN('Исходные кривые'!$B$17:$L$17),INDEX('Исходные кривые'!$B$18:$L$18,1,1),IF(D11&gt;=MAX('Исходные кривые'!$B$17:$L$17),INDEX('Исходные кривые'!$B$18:$L$18,1,COLUMNS('Исходные кривые'!$B$18:$L$18)),INDEX('Исходные кривые'!$B$18:$L$18,1,MATCH(D11,'Исходные кривые'!$B$17:$L$17,1))+(D11-INDEX('Исходные кривые'!$B$17:$L$17,1,MATCH(D11,'Исходные кривые'!$B$17:$L$17,1)))*(INDEX('Исходные кривые'!$B$18:$L$18,1,MATCH(D11,'Исходные кривые'!$B$17:$L$17,1)+1)-INDEX('Исходные кривые'!$B$18:$L$18,1,MATCH(D11,'Исходные кривые'!$B$17:$L$17,1)))/(INDEX('Исходные кривые'!$B$17:$L$17,1,MATCH(D11,'Исходные кривые'!$B$17:$L$17,1)+1)-INDEX('Исходные кривые'!$B$17:$L$17,1,MATCH(D11,'Исходные кривые'!$B$17:$L$17,1)))))</x:f>
        <x:v>6.095890410958904</x:v>
      </x:c>
      <x:c r="J11" s="31" t="n">
        <x:f>IF(D11&lt;=MIN('Исходные кривые'!$B$17:$L$17),INDEX('Исходные кривые'!$B$19:$L$19,1,1),IF(D11&gt;=MAX('Исходные кривые'!$B$17:$L$17),INDEX('Исходные кривые'!$B$19:$L$19,1,COLUMNS('Исходные кривые'!$B$19:$L$19)),INDEX('Исходные кривые'!$B$19:$L$19,1,MATCH(D11,'Исходные кривые'!$B$17:$L$17,1))+(D11-INDEX('Исходные кривые'!$B$17:$L$17,1,MATCH(D11,'Исходные кривые'!$B$17:$L$17,1)))*(INDEX('Исходные кривые'!$B$19:$L$19,1,MATCH(D11,'Исходные кривые'!$B$17:$L$17,1)+1)-INDEX('Исходные кривые'!$B$19:$L$19,1,MATCH(D11,'Исходные кривые'!$B$17:$L$17,1)))/(INDEX('Исходные кривые'!$B$17:$L$17,1,MATCH(D11,'Исходные кривые'!$B$17:$L$17,1)+1)-INDEX('Исходные кривые'!$B$17:$L$17,1,MATCH(D11,'Исходные кривые'!$B$17:$L$17,1)))))</x:f>
        <x:v>-4.976986301369863</x:v>
      </x:c>
    </x:row>
    <x:row r="12">
      <x:c r="A12" s="26" t="str">
        <x:v>Купонные даты</x:v>
      </x:c>
      <x:c r="B12" s="27" t="n">
        <x:v>46778</x:v>
      </x:c>
      <x:c r="C12" s="30" t="n">
        <x:f>B12-'Настройки'!$B$4</x:f>
        <x:v>575</x:v>
      </x:c>
      <x:c r="D12" s="31" t="n">
        <x:f>C12/'Настройки'!$B$5</x:f>
        <x:v>1.5753424657534247</x:v>
      </x:c>
      <x:c r="E12" s="31" t="n">
        <x:f>IF(D12&lt;=MIN('Исходные кривые'!$B$4:$L$4),INDEX('Исходные кривые'!$B$5:$L$5,1,1),IF(D12&gt;=MAX('Исходные кривые'!$B$4:$L$4),INDEX('Исходные кривые'!$B$5:$L$5,1,COLUMNS('Исходные кривые'!$B$5:$L$5)),INDEX('Исходные кривые'!$B$5:$L$5,1,MATCH(D12,'Исходные кривые'!$B$4:$L$4,1))+(D12-INDEX('Исходные кривые'!$B$4:$L$4,1,MATCH(D12,'Исходные кривые'!$B$4:$L$4,1)))*(INDEX('Исходные кривые'!$B$5:$L$5,1,MATCH(D12,'Исходные кривые'!$B$4:$L$4,1)+1)-INDEX('Исходные кривые'!$B$5:$L$5,1,MATCH(D12,'Исходные кривые'!$B$4:$L$4,1)))/(INDEX('Исходные кривые'!$B$4:$L$4,1,MATCH(D12,'Исходные кривые'!$B$4:$L$4,1)+1)-INDEX('Исходные кривые'!$B$4:$L$4,1,MATCH(D12,'Исходные кривые'!$B$4:$L$4,1)))))</x:f>
        <x:v>13.674657534246576</x:v>
      </x:c>
      <x:c r="F12" s="31" t="n">
        <x:f>IF(D12&lt;=MIN('Исходные кривые'!$B$8:$N$8),INDEX('Исходные кривые'!$B$9:$N$9,1,1),IF(D12&gt;=MAX('Исходные кривые'!$B$8:$N$8),INDEX('Исходные кривые'!$B$9:$N$9,1,COLUMNS('Исходные кривые'!$B$9:$N$9)),INDEX('Исходные кривые'!$B$9:$N$9,1,MATCH(D12,'Исходные кривые'!$B$8:$N$8,1))+(D12-INDEX('Исходные кривые'!$B$8:$N$8,1,MATCH(D12,'Исходные кривые'!$B$8:$N$8,1)))*(INDEX('Исходные кривые'!$B$9:$N$9,1,MATCH(D12,'Исходные кривые'!$B$8:$N$8,1)+1)-INDEX('Исходные кривые'!$B$9:$N$9,1,MATCH(D12,'Исходные кривые'!$B$8:$N$8,1)))/(INDEX('Исходные кривые'!$B$8:$N$8,1,MATCH(D12,'Исходные кривые'!$B$8:$N$8,1)+1)-INDEX('Исходные кривые'!$B$8:$N$8,1,MATCH(D12,'Исходные кривые'!$B$8:$N$8,1)))))</x:f>
        <x:v>15.674657534246576</x:v>
      </x:c>
      <x:c r="G12" s="31" t="n">
        <x:f>IF(D12&lt;=MIN('Исходные кривые'!$B$12:$K$12),INDEX('Исходные кривые'!$B$13:$K$13,1,1),IF(D12&gt;=MAX('Исходные кривые'!$B$12:$K$12),INDEX('Исходные кривые'!$B$13:$K$13,1,COLUMNS('Исходные кривые'!$B$13:$K$13)),INDEX('Исходные кривые'!$B$13:$K$13,1,MATCH(D12,'Исходные кривые'!$B$12:$K$12,1))+(D12-INDEX('Исходные кривые'!$B$12:$K$12,1,MATCH(D12,'Исходные кривые'!$B$12:$K$12,1)))*(INDEX('Исходные кривые'!$B$13:$K$13,1,MATCH(D12,'Исходные кривые'!$B$12:$K$12,1)+1)-INDEX('Исходные кривые'!$B$13:$K$13,1,MATCH(D12,'Исходные кривые'!$B$12:$K$12,1)))/(INDEX('Исходные кривые'!$B$12:$K$12,1,MATCH(D12,'Исходные кривые'!$B$12:$K$12,1)+1)-INDEX('Исходные кривые'!$B$12:$K$12,1,MATCH(D12,'Исходные кривые'!$B$12:$K$12,1)))))</x:f>
        <x:v>56.273972602739725</x:v>
      </x:c>
      <x:c r="H12" s="31" t="n">
        <x:f>IF(D12&lt;=MIN('Исходные кривые'!$B$12:$K$12),INDEX('Исходные кривые'!$B$14:$K$14,1,1),IF(D12&gt;=MAX('Исходные кривые'!$B$12:$K$12),INDEX('Исходные кривые'!$B$14:$K$14,1,COLUMNS('Исходные кривые'!$B$14:$K$14)),INDEX('Исходные кривые'!$B$14:$K$14,1,MATCH(D12,'Исходные кривые'!$B$12:$K$12,1))+(D12-INDEX('Исходные кривые'!$B$12:$K$12,1,MATCH(D12,'Исходные кривые'!$B$12:$K$12,1)))*(INDEX('Исходные кривые'!$B$14:$K$14,1,MATCH(D12,'Исходные кривые'!$B$12:$K$12,1)+1)-INDEX('Исходные кривые'!$B$14:$K$14,1,MATCH(D12,'Исходные кривые'!$B$12:$K$12,1)))/(INDEX('Исходные кривые'!$B$12:$K$12,1,MATCH(D12,'Исходные кривые'!$B$12:$K$12,1)+1)-INDEX('Исходные кривые'!$B$12:$K$12,1,MATCH(D12,'Исходные кривые'!$B$12:$K$12,1)))))</x:f>
        <x:v>-29.84931506849315</x:v>
      </x:c>
      <x:c r="I12" s="31" t="n">
        <x:f>IF(D12&lt;=MIN('Исходные кривые'!$B$17:$L$17),INDEX('Исходные кривые'!$B$18:$L$18,1,1),IF(D12&gt;=MAX('Исходные кривые'!$B$17:$L$17),INDEX('Исходные кривые'!$B$18:$L$18,1,COLUMNS('Исходные кривые'!$B$18:$L$18)),INDEX('Исходные кривые'!$B$18:$L$18,1,MATCH(D12,'Исходные кривые'!$B$17:$L$17,1))+(D12-INDEX('Исходные кривые'!$B$17:$L$17,1,MATCH(D12,'Исходные кривые'!$B$17:$L$17,1)))*(INDEX('Исходные кривые'!$B$18:$L$18,1,MATCH(D12,'Исходные кривые'!$B$17:$L$17,1)+1)-INDEX('Исходные кривые'!$B$18:$L$18,1,MATCH(D12,'Исходные кривые'!$B$17:$L$17,1)))/(INDEX('Исходные кривые'!$B$17:$L$17,1,MATCH(D12,'Исходные кривые'!$B$17:$L$17,1)+1)-INDEX('Исходные кривые'!$B$17:$L$17,1,MATCH(D12,'Исходные кривые'!$B$17:$L$17,1)))))</x:f>
        <x:v>6.719178082191781</x:v>
      </x:c>
      <x:c r="J12" s="31" t="n">
        <x:f>IF(D12&lt;=MIN('Исходные кривые'!$B$17:$L$17),INDEX('Исходные кривые'!$B$19:$L$19,1,1),IF(D12&gt;=MAX('Исходные кривые'!$B$17:$L$17),INDEX('Исходные кривые'!$B$19:$L$19,1,COLUMNS('Исходные кривые'!$B$19:$L$19)),INDEX('Исходные кривые'!$B$19:$L$19,1,MATCH(D12,'Исходные кривые'!$B$17:$L$17,1))+(D12-INDEX('Исходные кривые'!$B$17:$L$17,1,MATCH(D12,'Исходные кривые'!$B$17:$L$17,1)))*(INDEX('Исходные кривые'!$B$19:$L$19,1,MATCH(D12,'Исходные кривые'!$B$17:$L$17,1)+1)-INDEX('Исходные кривые'!$B$19:$L$19,1,MATCH(D12,'Исходные кривые'!$B$17:$L$17,1)))/(INDEX('Исходные кривые'!$B$17:$L$17,1,MATCH(D12,'Исходные кривые'!$B$17:$L$17,1)+1)-INDEX('Исходные кривые'!$B$17:$L$17,1,MATCH(D12,'Исходные кривые'!$B$17:$L$17,1)))))</x:f>
        <x:v>-4.8273972602739725</x:v>
      </x:c>
    </x:row>
    <x:row r="13">
      <x:c r="A13" s="26" t="str">
        <x:v>Купонные даты</x:v>
      </x:c>
      <x:c r="B13" s="27" t="n">
        <x:v>46960</x:v>
      </x:c>
      <x:c r="C13" s="30" t="n">
        <x:f>B13-'Настройки'!$B$4</x:f>
        <x:v>757</x:v>
      </x:c>
      <x:c r="D13" s="31" t="n">
        <x:f>C13/'Настройки'!$B$5</x:f>
        <x:v>2.073972602739726</x:v>
      </x:c>
      <x:c r="E13" s="31" t="n">
        <x:f>IF(D13&lt;=MIN('Исходные кривые'!$B$4:$L$4),INDEX('Исходные кривые'!$B$5:$L$5,1,1),IF(D13&gt;=MAX('Исходные кривые'!$B$4:$L$4),INDEX('Исходные кривые'!$B$5:$L$5,1,COLUMNS('Исходные кривые'!$B$5:$L$5)),INDEX('Исходные кривые'!$B$5:$L$5,1,MATCH(D13,'Исходные кривые'!$B$4:$L$4,1))+(D13-INDEX('Исходные кривые'!$B$4:$L$4,1,MATCH(D13,'Исходные кривые'!$B$4:$L$4,1)))*(INDEX('Исходные кривые'!$B$5:$L$5,1,MATCH(D13,'Исходные кривые'!$B$4:$L$4,1)+1)-INDEX('Исходные кривые'!$B$5:$L$5,1,MATCH(D13,'Исходные кривые'!$B$4:$L$4,1)))/(INDEX('Исходные кривые'!$B$4:$L$4,1,MATCH(D13,'Исходные кривые'!$B$4:$L$4,1)+1)-INDEX('Исходные кривые'!$B$4:$L$4,1,MATCH(D13,'Исходные кривые'!$B$4:$L$4,1)))))</x:f>
        <x:v>13.914383561643834</x:v>
      </x:c>
      <x:c r="F13" s="31" t="n">
        <x:f>IF(D13&lt;=MIN('Исходные кривые'!$B$8:$N$8),INDEX('Исходные кривые'!$B$9:$N$9,1,1),IF(D13&gt;=MAX('Исходные кривые'!$B$8:$N$8),INDEX('Исходные кривые'!$B$9:$N$9,1,COLUMNS('Исходные кривые'!$B$9:$N$9)),INDEX('Исходные кривые'!$B$9:$N$9,1,MATCH(D13,'Исходные кривые'!$B$8:$N$8,1))+(D13-INDEX('Исходные кривые'!$B$8:$N$8,1,MATCH(D13,'Исходные кривые'!$B$8:$N$8,1)))*(INDEX('Исходные кривые'!$B$9:$N$9,1,MATCH(D13,'Исходные кривые'!$B$8:$N$8,1)+1)-INDEX('Исходные кривые'!$B$9:$N$9,1,MATCH(D13,'Исходные кривые'!$B$8:$N$8,1)))/(INDEX('Исходные кривые'!$B$8:$N$8,1,MATCH(D13,'Исходные кривые'!$B$8:$N$8,1)+1)-INDEX('Исходные кривые'!$B$8:$N$8,1,MATCH(D13,'Исходные кривые'!$B$8:$N$8,1)))))</x:f>
        <x:v>15.914383561643834</x:v>
      </x:c>
      <x:c r="G13" s="31" t="n">
        <x:f>IF(D13&lt;=MIN('Исходные кривые'!$B$12:$K$12),INDEX('Исходные кривые'!$B$13:$K$13,1,1),IF(D13&gt;=MAX('Исходные кривые'!$B$12:$K$12),INDEX('Исходные кривые'!$B$13:$K$13,1,COLUMNS('Исходные кривые'!$B$13:$K$13)),INDEX('Исходные кривые'!$B$13:$K$13,1,MATCH(D13,'Исходные кривые'!$B$12:$K$12,1))+(D13-INDEX('Исходные кривые'!$B$12:$K$12,1,MATCH(D13,'Исходные кривые'!$B$12:$K$12,1)))*(INDEX('Исходные кривые'!$B$13:$K$13,1,MATCH(D13,'Исходные кривые'!$B$12:$K$12,1)+1)-INDEX('Исходные кривые'!$B$13:$K$13,1,MATCH(D13,'Исходные кривые'!$B$12:$K$12,1)))/(INDEX('Исходные кривые'!$B$12:$K$12,1,MATCH(D13,'Исходные кривые'!$B$12:$K$12,1)+1)-INDEX('Исходные кривые'!$B$12:$K$12,1,MATCH(D13,'Исходные кривые'!$B$12:$K$12,1)))))</x:f>
        <x:v>54.92602739726027</x:v>
      </x:c>
      <x:c r="H13" s="31" t="n">
        <x:f>IF(D13&lt;=MIN('Исходные кривые'!$B$12:$K$12),INDEX('Исходные кривые'!$B$14:$K$14,1,1),IF(D13&gt;=MAX('Исходные кривые'!$B$12:$K$12),INDEX('Исходные кривые'!$B$14:$K$14,1,COLUMNS('Исходные кривые'!$B$14:$K$14)),INDEX('Исходные кривые'!$B$14:$K$14,1,MATCH(D13,'Исходные кривые'!$B$12:$K$12,1))+(D13-INDEX('Исходные кривые'!$B$12:$K$12,1,MATCH(D13,'Исходные кривые'!$B$12:$K$12,1)))*(INDEX('Исходные кривые'!$B$14:$K$14,1,MATCH(D13,'Исходные кривые'!$B$12:$K$12,1)+1)-INDEX('Исходные кривые'!$B$14:$K$14,1,MATCH(D13,'Исходные кривые'!$B$12:$K$12,1)))/(INDEX('Исходные кривые'!$B$12:$K$12,1,MATCH(D13,'Исходные кривые'!$B$12:$K$12,1)+1)-INDEX('Исходные кривые'!$B$12:$K$12,1,MATCH(D13,'Исходные кривые'!$B$12:$K$12,1)))))</x:f>
        <x:v>-28.926027397260274</x:v>
      </x:c>
      <x:c r="I13" s="31" t="n">
        <x:f>IF(D13&lt;=MIN('Исходные кривые'!$B$17:$L$17),INDEX('Исходные кривые'!$B$18:$L$18,1,1),IF(D13&gt;=MAX('Исходные кривые'!$B$17:$L$17),INDEX('Исходные кривые'!$B$18:$L$18,1,COLUMNS('Исходные кривые'!$B$18:$L$18)),INDEX('Исходные кривые'!$B$18:$L$18,1,MATCH(D13,'Исходные кривые'!$B$17:$L$17,1))+(D13-INDEX('Исходные кривые'!$B$17:$L$17,1,MATCH(D13,'Исходные кривые'!$B$17:$L$17,1)))*(INDEX('Исходные кривые'!$B$18:$L$18,1,MATCH(D13,'Исходные кривые'!$B$17:$L$17,1)+1)-INDEX('Исходные кривые'!$B$18:$L$18,1,MATCH(D13,'Исходные кривые'!$B$17:$L$17,1)))/(INDEX('Исходные кривые'!$B$17:$L$17,1,MATCH(D13,'Исходные кривые'!$B$17:$L$17,1)+1)-INDEX('Исходные кривые'!$B$17:$L$17,1,MATCH(D13,'Исходные кривые'!$B$17:$L$17,1)))))</x:f>
        <x:v>7.187123287671233</x:v>
      </x:c>
      <x:c r="J13" s="31" t="n">
        <x:f>IF(D13&lt;=MIN('Исходные кривые'!$B$17:$L$17),INDEX('Исходные кривые'!$B$19:$L$19,1,1),IF(D13&gt;=MAX('Исходные кривые'!$B$17:$L$17),INDEX('Исходные кривые'!$B$19:$L$19,1,COLUMNS('Исходные кривые'!$B$19:$L$19)),INDEX('Исходные кривые'!$B$19:$L$19,1,MATCH(D13,'Исходные кривые'!$B$17:$L$17,1))+(D13-INDEX('Исходные кривые'!$B$17:$L$17,1,MATCH(D13,'Исходные кривые'!$B$17:$L$17,1)))*(INDEX('Исходные кривые'!$B$19:$L$19,1,MATCH(D13,'Исходные кривые'!$B$17:$L$17,1)+1)-INDEX('Исходные кривые'!$B$19:$L$19,1,MATCH(D13,'Исходные кривые'!$B$17:$L$17,1)))/(INDEX('Исходные кривые'!$B$17:$L$17,1,MATCH(D13,'Исходные кривые'!$B$17:$L$17,1)+1)-INDEX('Исходные кривые'!$B$17:$L$17,1,MATCH(D13,'Исходные кривые'!$B$17:$L$17,1)))))</x:f>
        <x:v>-4.622328767123288</x:v>
      </x:c>
    </x:row>
    <x:row r="14">
      <x:c r="A14" s="26" t="str">
        <x:v>Купонные даты</x:v>
      </x:c>
      <x:c r="B14" s="27" t="n">
        <x:v>47142</x:v>
      </x:c>
      <x:c r="C14" s="30" t="n">
        <x:f>B14-'Настройки'!$B$4</x:f>
        <x:v>939</x:v>
      </x:c>
      <x:c r="D14" s="31" t="n">
        <x:f>C14/'Настройки'!$B$5</x:f>
        <x:v>2.5726027397260274</x:v>
      </x:c>
      <x:c r="E14" s="31" t="n">
        <x:f>IF(D14&lt;=MIN('Исходные кривые'!$B$4:$L$4),INDEX('Исходные кривые'!$B$5:$L$5,1,1),IF(D14&gt;=MAX('Исходные кривые'!$B$4:$L$4),INDEX('Исходные кривые'!$B$5:$L$5,1,COLUMNS('Исходные кривые'!$B$5:$L$5)),INDEX('Исходные кривые'!$B$5:$L$5,1,MATCH(D14,'Исходные кривые'!$B$4:$L$4,1))+(D14-INDEX('Исходные кривые'!$B$4:$L$4,1,MATCH(D14,'Исходные кривые'!$B$4:$L$4,1)))*(INDEX('Исходные кривые'!$B$5:$L$5,1,MATCH(D14,'Исходные кривые'!$B$4:$L$4,1)+1)-INDEX('Исходные кривые'!$B$5:$L$5,1,MATCH(D14,'Исходные кривые'!$B$4:$L$4,1)))/(INDEX('Исходные кривые'!$B$4:$L$4,1,MATCH(D14,'Исходные кривые'!$B$4:$L$4,1)+1)-INDEX('Исходные кривые'!$B$4:$L$4,1,MATCH(D14,'Исходные кривые'!$B$4:$L$4,1)))))</x:f>
        <x:v>14.213561643835616</x:v>
      </x:c>
      <x:c r="F14" s="31" t="n">
        <x:f>IF(D14&lt;=MIN('Исходные кривые'!$B$8:$N$8),INDEX('Исходные кривые'!$B$9:$N$9,1,1),IF(D14&gt;=MAX('Исходные кривые'!$B$8:$N$8),INDEX('Исходные кривые'!$B$9:$N$9,1,COLUMNS('Исходные кривые'!$B$9:$N$9)),INDEX('Исходные кривые'!$B$9:$N$9,1,MATCH(D14,'Исходные кривые'!$B$8:$N$8,1))+(D14-INDEX('Исходные кривые'!$B$8:$N$8,1,MATCH(D14,'Исходные кривые'!$B$8:$N$8,1)))*(INDEX('Исходные кривые'!$B$9:$N$9,1,MATCH(D14,'Исходные кривые'!$B$8:$N$8,1)+1)-INDEX('Исходные кривые'!$B$9:$N$9,1,MATCH(D14,'Исходные кривые'!$B$8:$N$8,1)))/(INDEX('Исходные кривые'!$B$8:$N$8,1,MATCH(D14,'Исходные кривые'!$B$8:$N$8,1)+1)-INDEX('Исходные кривые'!$B$8:$N$8,1,MATCH(D14,'Исходные кривые'!$B$8:$N$8,1)))))</x:f>
        <x:v>16.213561643835614</x:v>
      </x:c>
      <x:c r="G14" s="31" t="n">
        <x:f>IF(D14&lt;=MIN('Исходные кривые'!$B$12:$K$12),INDEX('Исходные кривые'!$B$13:$K$13,1,1),IF(D14&gt;=MAX('Исходные кривые'!$B$12:$K$12),INDEX('Исходные кривые'!$B$13:$K$13,1,COLUMNS('Исходные кривые'!$B$13:$K$13)),INDEX('Исходные кривые'!$B$13:$K$13,1,MATCH(D14,'Исходные кривые'!$B$12:$K$12,1))+(D14-INDEX('Исходные кривые'!$B$12:$K$12,1,MATCH(D14,'Исходные кривые'!$B$12:$K$12,1)))*(INDEX('Исходные кривые'!$B$13:$K$13,1,MATCH(D14,'Исходные кривые'!$B$12:$K$12,1)+1)-INDEX('Исходные кривые'!$B$13:$K$13,1,MATCH(D14,'Исходные кривые'!$B$12:$K$12,1)))/(INDEX('Исходные кривые'!$B$12:$K$12,1,MATCH(D14,'Исходные кривые'!$B$12:$K$12,1)+1)-INDEX('Исходные кривые'!$B$12:$K$12,1,MATCH(D14,'Исходные кривые'!$B$12:$K$12,1)))))</x:f>
        <x:v>54.42739726027397</x:v>
      </x:c>
      <x:c r="H14" s="31" t="n">
        <x:f>IF(D14&lt;=MIN('Исходные кривые'!$B$12:$K$12),INDEX('Исходные кривые'!$B$14:$K$14,1,1),IF(D14&gt;=MAX('Исходные кривые'!$B$12:$K$12),INDEX('Исходные кривые'!$B$14:$K$14,1,COLUMNS('Исходные кривые'!$B$14:$K$14)),INDEX('Исходные кривые'!$B$14:$K$14,1,MATCH(D14,'Исходные кривые'!$B$12:$K$12,1))+(D14-INDEX('Исходные кривые'!$B$12:$K$12,1,MATCH(D14,'Исходные кривые'!$B$12:$K$12,1)))*(INDEX('Исходные кривые'!$B$14:$K$14,1,MATCH(D14,'Исходные кривые'!$B$12:$K$12,1)+1)-INDEX('Исходные кривые'!$B$14:$K$14,1,MATCH(D14,'Исходные кривые'!$B$12:$K$12,1)))/(INDEX('Исходные кривые'!$B$12:$K$12,1,MATCH(D14,'Исходные кривые'!$B$12:$K$12,1)+1)-INDEX('Исходные кривые'!$B$12:$K$12,1,MATCH(D14,'Исходные кривые'!$B$12:$K$12,1)))))</x:f>
        <x:v>-28.427397260273974</x:v>
      </x:c>
      <x:c r="I14" s="31" t="n">
        <x:f>IF(D14&lt;=MIN('Исходные кривые'!$B$17:$L$17),INDEX('Исходные кривые'!$B$18:$L$18,1,1),IF(D14&gt;=MAX('Исходные кривые'!$B$17:$L$17),INDEX('Исходные кривые'!$B$18:$L$18,1,COLUMNS('Исходные кривые'!$B$18:$L$18)),INDEX('Исходные кривые'!$B$18:$L$18,1,MATCH(D14,'Исходные кривые'!$B$17:$L$17,1))+(D14-INDEX('Исходные кривые'!$B$17:$L$17,1,MATCH(D14,'Исходные кривые'!$B$17:$L$17,1)))*(INDEX('Исходные кривые'!$B$18:$L$18,1,MATCH(D14,'Исходные кривые'!$B$17:$L$17,1)+1)-INDEX('Исходные кривые'!$B$18:$L$18,1,MATCH(D14,'Исходные кривые'!$B$17:$L$17,1)))/(INDEX('Исходные кривые'!$B$17:$L$17,1,MATCH(D14,'Исходные кривые'!$B$17:$L$17,1)+1)-INDEX('Исходные кривые'!$B$17:$L$17,1,MATCH(D14,'Исходные кривые'!$B$17:$L$17,1)))))</x:f>
        <x:v>6.763287671232877</x:v>
      </x:c>
      <x:c r="J14" s="31" t="n">
        <x:f>IF(D14&lt;=MIN('Исходные кривые'!$B$17:$L$17),INDEX('Исходные кривые'!$B$19:$L$19,1,1),IF(D14&gt;=MAX('Исходные кривые'!$B$17:$L$17),INDEX('Исходные кривые'!$B$19:$L$19,1,COLUMNS('Исходные кривые'!$B$19:$L$19)),INDEX('Исходные кривые'!$B$19:$L$19,1,MATCH(D14,'Исходные кривые'!$B$17:$L$17,1))+(D14-INDEX('Исходные кривые'!$B$17:$L$17,1,MATCH(D14,'Исходные кривые'!$B$17:$L$17,1)))*(INDEX('Исходные кривые'!$B$19:$L$19,1,MATCH(D14,'Исходные кривые'!$B$17:$L$17,1)+1)-INDEX('Исходные кривые'!$B$19:$L$19,1,MATCH(D14,'Исходные кривые'!$B$17:$L$17,1)))/(INDEX('Исходные кривые'!$B$17:$L$17,1,MATCH(D14,'Исходные кривые'!$B$17:$L$17,1)+1)-INDEX('Исходные кривые'!$B$17:$L$17,1,MATCH(D14,'Исходные кривые'!$B$17:$L$17,1)))))</x:f>
        <x:v>-4.098767123287671</x:v>
      </x:c>
    </x:row>
    <x:row r="15">
      <x:c r="A15" s="26" t="str">
        <x:v>Купонные даты</x:v>
      </x:c>
      <x:c r="B15" s="27" t="n">
        <x:v>47324</x:v>
      </x:c>
      <x:c r="C15" s="30" t="n">
        <x:f>B15-'Настройки'!$B$4</x:f>
        <x:v>1121</x:v>
      </x:c>
      <x:c r="D15" s="31" t="n">
        <x:f>C15/'Настройки'!$B$5</x:f>
        <x:v>3.0712328767123287</x:v>
      </x:c>
      <x:c r="E15" s="31" t="n">
        <x:f>IF(D15&lt;=MIN('Исходные кривые'!$B$4:$L$4),INDEX('Исходные кривые'!$B$5:$L$5,1,1),IF(D15&gt;=MAX('Исходные кривые'!$B$4:$L$4),INDEX('Исходные кривые'!$B$5:$L$5,1,COLUMNS('Исходные кривые'!$B$5:$L$5)),INDEX('Исходные кривые'!$B$5:$L$5,1,MATCH(D15,'Исходные кривые'!$B$4:$L$4,1))+(D15-INDEX('Исходные кривые'!$B$4:$L$4,1,MATCH(D15,'Исходные кривые'!$B$4:$L$4,1)))*(INDEX('Исходные кривые'!$B$5:$L$5,1,MATCH(D15,'Исходные кривые'!$B$4:$L$4,1)+1)-INDEX('Исходные кривые'!$B$5:$L$5,1,MATCH(D15,'Исходные кривые'!$B$4:$L$4,1)))/(INDEX('Исходные кривые'!$B$4:$L$4,1,MATCH(D15,'Исходные кривые'!$B$4:$L$4,1)+1)-INDEX('Исходные кривые'!$B$4:$L$4,1,MATCH(D15,'Исходные кривые'!$B$4:$L$4,1)))))</x:f>
        <x:v>14.503835616438357</x:v>
      </x:c>
      <x:c r="F15" s="31" t="n">
        <x:f>IF(D15&lt;=MIN('Исходные кривые'!$B$8:$N$8),INDEX('Исходные кривые'!$B$9:$N$9,1,1),IF(D15&gt;=MAX('Исходные кривые'!$B$8:$N$8),INDEX('Исходные кривые'!$B$9:$N$9,1,COLUMNS('Исходные кривые'!$B$9:$N$9)),INDEX('Исходные кривые'!$B$9:$N$9,1,MATCH(D15,'Исходные кривые'!$B$8:$N$8,1))+(D15-INDEX('Исходные кривые'!$B$8:$N$8,1,MATCH(D15,'Исходные кривые'!$B$8:$N$8,1)))*(INDEX('Исходные кривые'!$B$9:$N$9,1,MATCH(D15,'Исходные кривые'!$B$8:$N$8,1)+1)-INDEX('Исходные кривые'!$B$9:$N$9,1,MATCH(D15,'Исходные кривые'!$B$8:$N$8,1)))/(INDEX('Исходные кривые'!$B$8:$N$8,1,MATCH(D15,'Исходные кривые'!$B$8:$N$8,1)+1)-INDEX('Исходные кривые'!$B$8:$N$8,1,MATCH(D15,'Исходные кривые'!$B$8:$N$8,1)))))</x:f>
        <x:v>16.503835616438355</x:v>
      </x:c>
      <x:c r="G15" s="31" t="n">
        <x:f>IF(D15&lt;=MIN('Исходные кривые'!$B$12:$K$12),INDEX('Исходные кривые'!$B$13:$K$13,1,1),IF(D15&gt;=MAX('Исходные кривые'!$B$12:$K$12),INDEX('Исходные кривые'!$B$13:$K$13,1,COLUMNS('Исходные кривые'!$B$13:$K$13)),INDEX('Исходные кривые'!$B$13:$K$13,1,MATCH(D15,'Исходные кривые'!$B$12:$K$12,1))+(D15-INDEX('Исходные кривые'!$B$12:$K$12,1,MATCH(D15,'Исходные кривые'!$B$12:$K$12,1)))*(INDEX('Исходные кривые'!$B$13:$K$13,1,MATCH(D15,'Исходные кривые'!$B$12:$K$12,1)+1)-INDEX('Исходные кривые'!$B$13:$K$13,1,MATCH(D15,'Исходные кривые'!$B$12:$K$12,1)))/(INDEX('Исходные кривые'!$B$12:$K$12,1,MATCH(D15,'Исходные кривые'!$B$12:$K$12,1)+1)-INDEX('Исходные кривые'!$B$12:$K$12,1,MATCH(D15,'Исходные кривые'!$B$12:$K$12,1)))))</x:f>
        <x:v>53.78630136986301</x:v>
      </x:c>
      <x:c r="H15" s="31" t="n">
        <x:f>IF(D15&lt;=MIN('Исходные кривые'!$B$12:$K$12),INDEX('Исходные кривые'!$B$14:$K$14,1,1),IF(D15&gt;=MAX('Исходные кривые'!$B$12:$K$12),INDEX('Исходные кривые'!$B$14:$K$14,1,COLUMNS('Исходные кривые'!$B$14:$K$14)),INDEX('Исходные кривые'!$B$14:$K$14,1,MATCH(D15,'Исходные кривые'!$B$12:$K$12,1))+(D15-INDEX('Исходные кривые'!$B$12:$K$12,1,MATCH(D15,'Исходные кривые'!$B$12:$K$12,1)))*(INDEX('Исходные кривые'!$B$14:$K$14,1,MATCH(D15,'Исходные кривые'!$B$12:$K$12,1)+1)-INDEX('Исходные кривые'!$B$14:$K$14,1,MATCH(D15,'Исходные кривые'!$B$12:$K$12,1)))/(INDEX('Исходные кривые'!$B$12:$K$12,1,MATCH(D15,'Исходные кривые'!$B$12:$K$12,1)+1)-INDEX('Исходные кривые'!$B$12:$K$12,1,MATCH(D15,'Исходные кривые'!$B$12:$K$12,1)))))</x:f>
        <x:v>-27.964383561643835</x:v>
      </x:c>
      <x:c r="I15" s="31" t="n">
        <x:f>IF(D15&lt;=MIN('Исходные кривые'!$B$17:$L$17),INDEX('Исходные кривые'!$B$18:$L$18,1,1),IF(D15&gt;=MAX('Исходные кривые'!$B$17:$L$17),INDEX('Исходные кривые'!$B$18:$L$18,1,COLUMNS('Исходные кривые'!$B$18:$L$18)),INDEX('Исходные кривые'!$B$18:$L$18,1,MATCH(D15,'Исходные кривые'!$B$17:$L$17,1))+(D15-INDEX('Исходные кривые'!$B$17:$L$17,1,MATCH(D15,'Исходные кривые'!$B$17:$L$17,1)))*(INDEX('Исходные кривые'!$B$18:$L$18,1,MATCH(D15,'Исходные кривые'!$B$17:$L$17,1)+1)-INDEX('Исходные кривые'!$B$18:$L$18,1,MATCH(D15,'Исходные кривые'!$B$17:$L$17,1)))/(INDEX('Исходные кривые'!$B$17:$L$17,1,MATCH(D15,'Исходные кривые'!$B$17:$L$17,1)+1)-INDEX('Исходные кривые'!$B$17:$L$17,1,MATCH(D15,'Исходные кривые'!$B$17:$L$17,1)))))</x:f>
        <x:v>6.382191780821918</x:v>
      </x:c>
      <x:c r="J15" s="31" t="n">
        <x:f>IF(D15&lt;=MIN('Исходные кривые'!$B$17:$L$17),INDEX('Исходные кривые'!$B$19:$L$19,1,1),IF(D15&gt;=MAX('Исходные кривые'!$B$17:$L$17),INDEX('Исходные кривые'!$B$19:$L$19,1,COLUMNS('Исходные кривые'!$B$19:$L$19)),INDEX('Исходные кривые'!$B$19:$L$19,1,MATCH(D15,'Исходные кривые'!$B$17:$L$17,1))+(D15-INDEX('Исходные кривые'!$B$17:$L$17,1,MATCH(D15,'Исходные кривые'!$B$17:$L$17,1)))*(INDEX('Исходные кривые'!$B$19:$L$19,1,MATCH(D15,'Исходные кривые'!$B$17:$L$17,1)+1)-INDEX('Исходные кривые'!$B$19:$L$19,1,MATCH(D15,'Исходные кривые'!$B$17:$L$17,1)))/(INDEX('Исходные кривые'!$B$17:$L$17,1,MATCH(D15,'Исходные кривые'!$B$17:$L$17,1)+1)-INDEX('Исходные кривые'!$B$17:$L$17,1,MATCH(D15,'Исходные кривые'!$B$17:$L$17,1)))))</x:f>
        <x:v>-3.593013698630137</x:v>
      </x:c>
    </x:row>
    <x:row r="16">
      <x:c r="A16" s="26" t="str">
        <x:v>Купонные даты</x:v>
      </x:c>
      <x:c r="B16" s="27" t="n">
        <x:v>47506</x:v>
      </x:c>
      <x:c r="C16" s="30" t="n">
        <x:f>B16-'Настройки'!$B$4</x:f>
        <x:v>1303</x:v>
      </x:c>
      <x:c r="D16" s="31" t="n">
        <x:f>C16/'Настройки'!$B$5</x:f>
        <x:v>3.56986301369863</x:v>
      </x:c>
      <x:c r="E16" s="31" t="n">
        <x:f>IF(D16&lt;=MIN('Исходные кривые'!$B$4:$L$4),INDEX('Исходные кривые'!$B$5:$L$5,1,1),IF(D16&gt;=MAX('Исходные кривые'!$B$4:$L$4),INDEX('Исходные кривые'!$B$5:$L$5,1,COLUMNS('Исходные кривые'!$B$5:$L$5)),INDEX('Исходные кривые'!$B$5:$L$5,1,MATCH(D16,'Исходные кривые'!$B$4:$L$4,1))+(D16-INDEX('Исходные кривые'!$B$4:$L$4,1,MATCH(D16,'Исходные кривые'!$B$4:$L$4,1)))*(INDEX('Исходные кривые'!$B$5:$L$5,1,MATCH(D16,'Исходные кривые'!$B$4:$L$4,1)+1)-INDEX('Исходные кривые'!$B$5:$L$5,1,MATCH(D16,'Исходные кривые'!$B$4:$L$4,1)))/(INDEX('Исходные кривые'!$B$4:$L$4,1,MATCH(D16,'Исходные кривые'!$B$4:$L$4,1)+1)-INDEX('Исходные кривые'!$B$4:$L$4,1,MATCH(D16,'Исходные кривые'!$B$4:$L$4,1)))))</x:f>
        <x:v>14.74068493150685</x:v>
      </x:c>
      <x:c r="F16" s="31" t="n">
        <x:f>IF(D16&lt;=MIN('Исходные кривые'!$B$8:$N$8),INDEX('Исходные кривые'!$B$9:$N$9,1,1),IF(D16&gt;=MAX('Исходные кривые'!$B$8:$N$8),INDEX('Исходные кривые'!$B$9:$N$9,1,COLUMNS('Исходные кривые'!$B$9:$N$9)),INDEX('Исходные кривые'!$B$9:$N$9,1,MATCH(D16,'Исходные кривые'!$B$8:$N$8,1))+(D16-INDEX('Исходные кривые'!$B$8:$N$8,1,MATCH(D16,'Исходные кривые'!$B$8:$N$8,1)))*(INDEX('Исходные кривые'!$B$9:$N$9,1,MATCH(D16,'Исходные кривые'!$B$8:$N$8,1)+1)-INDEX('Исходные кривые'!$B$9:$N$9,1,MATCH(D16,'Исходные кривые'!$B$8:$N$8,1)))/(INDEX('Исходные кривые'!$B$8:$N$8,1,MATCH(D16,'Исходные кривые'!$B$8:$N$8,1)+1)-INDEX('Исходные кривые'!$B$8:$N$8,1,MATCH(D16,'Исходные кривые'!$B$8:$N$8,1)))))</x:f>
        <x:v>16.74068493150685</x:v>
      </x:c>
      <x:c r="G16" s="31" t="n">
        <x:f>IF(D16&lt;=MIN('Исходные кривые'!$B$12:$K$12),INDEX('Исходные кривые'!$B$13:$K$13,1,1),IF(D16&gt;=MAX('Исходные кривые'!$B$12:$K$12),INDEX('Исходные кривые'!$B$13:$K$13,1,COLUMNS('Исходные кривые'!$B$13:$K$13)),INDEX('Исходные кривые'!$B$13:$K$13,1,MATCH(D16,'Исходные кривые'!$B$12:$K$12,1))+(D16-INDEX('Исходные кривые'!$B$12:$K$12,1,MATCH(D16,'Исходные кривые'!$B$12:$K$12,1)))*(INDEX('Исходные кривые'!$B$13:$K$13,1,MATCH(D16,'Исходные кривые'!$B$12:$K$12,1)+1)-INDEX('Исходные кривые'!$B$13:$K$13,1,MATCH(D16,'Исходные кривые'!$B$12:$K$12,1)))/(INDEX('Исходные кривые'!$B$12:$K$12,1,MATCH(D16,'Исходные кривые'!$B$12:$K$12,1)+1)-INDEX('Исходные кривые'!$B$12:$K$12,1,MATCH(D16,'Исходные кривые'!$B$12:$K$12,1)))))</x:f>
        <x:v>52.29041095890411</x:v>
      </x:c>
      <x:c r="H16" s="31" t="n">
        <x:f>IF(D16&lt;=MIN('Исходные кривые'!$B$12:$K$12),INDEX('Исходные кривые'!$B$14:$K$14,1,1),IF(D16&gt;=MAX('Исходные кривые'!$B$12:$K$12),INDEX('Исходные кривые'!$B$14:$K$14,1,COLUMNS('Исходные кривые'!$B$14:$K$14)),INDEX('Исходные кривые'!$B$14:$K$14,1,MATCH(D16,'Исходные кривые'!$B$12:$K$12,1))+(D16-INDEX('Исходные кривые'!$B$12:$K$12,1,MATCH(D16,'Исходные кривые'!$B$12:$K$12,1)))*(INDEX('Исходные кривые'!$B$14:$K$14,1,MATCH(D16,'Исходные кривые'!$B$12:$K$12,1)+1)-INDEX('Исходные кривые'!$B$14:$K$14,1,MATCH(D16,'Исходные кривые'!$B$12:$K$12,1)))/(INDEX('Исходные кривые'!$B$12:$K$12,1,MATCH(D16,'Исходные кривые'!$B$12:$K$12,1)+1)-INDEX('Исходные кривые'!$B$12:$K$12,1,MATCH(D16,'Исходные кривые'!$B$12:$K$12,1)))))</x:f>
        <x:v>-27.715068493150685</x:v>
      </x:c>
      <x:c r="I16" s="31" t="n">
        <x:f>IF(D16&lt;=MIN('Исходные кривые'!$B$17:$L$17),INDEX('Исходные кривые'!$B$18:$L$18,1,1),IF(D16&gt;=MAX('Исходные кривые'!$B$17:$L$17),INDEX('Исходные кривые'!$B$18:$L$18,1,COLUMNS('Исходные кривые'!$B$18:$L$18)),INDEX('Исходные кривые'!$B$18:$L$18,1,MATCH(D16,'Исходные кривые'!$B$17:$L$17,1))+(D16-INDEX('Исходные кривые'!$B$17:$L$17,1,MATCH(D16,'Исходные кривые'!$B$17:$L$17,1)))*(INDEX('Исходные кривые'!$B$18:$L$18,1,MATCH(D16,'Исходные кривые'!$B$17:$L$17,1)+1)-INDEX('Исходные кривые'!$B$18:$L$18,1,MATCH(D16,'Исходные кривые'!$B$17:$L$17,1)))/(INDEX('Исходные кривые'!$B$17:$L$17,1,MATCH(D16,'Исходные кривые'!$B$17:$L$17,1)+1)-INDEX('Исходные кривые'!$B$17:$L$17,1,MATCH(D16,'Исходные кривые'!$B$17:$L$17,1)))))</x:f>
        <x:v>6.257534246575343</x:v>
      </x:c>
      <x:c r="J16" s="31" t="n">
        <x:f>IF(D16&lt;=MIN('Исходные кривые'!$B$17:$L$17),INDEX('Исходные кривые'!$B$19:$L$19,1,1),IF(D16&gt;=MAX('Исходные кривые'!$B$17:$L$17),INDEX('Исходные кривые'!$B$19:$L$19,1,COLUMNS('Исходные кривые'!$B$19:$L$19)),INDEX('Исходные кривые'!$B$19:$L$19,1,MATCH(D16,'Исходные кривые'!$B$17:$L$17,1))+(D16-INDEX('Исходные кривые'!$B$17:$L$17,1,MATCH(D16,'Исходные кривые'!$B$17:$L$17,1)))*(INDEX('Исходные кривые'!$B$19:$L$19,1,MATCH(D16,'Исходные кривые'!$B$17:$L$17,1)+1)-INDEX('Исходные кривые'!$B$19:$L$19,1,MATCH(D16,'Исходные кривые'!$B$17:$L$17,1)))/(INDEX('Исходные кривые'!$B$17:$L$17,1,MATCH(D16,'Исходные кривые'!$B$17:$L$17,1)+1)-INDEX('Исходные кривые'!$B$17:$L$17,1,MATCH(D16,'Исходные кривые'!$B$17:$L$17,1)))))</x:f>
        <x:v>-3.194109589041096</x:v>
      </x:c>
    </x:row>
    <x:row r="17">
      <x:c r="A17" s="26" t="str">
        <x:v>Купонные даты</x:v>
      </x:c>
      <x:c r="B17" s="27" t="n">
        <x:v>47688</x:v>
      </x:c>
      <x:c r="C17" s="30" t="n">
        <x:f>B17-'Настройки'!$B$4</x:f>
        <x:v>1485</x:v>
      </x:c>
      <x:c r="D17" s="31" t="n">
        <x:f>C17/'Настройки'!$B$5</x:f>
        <x:v>4.068493150684931</x:v>
      </x:c>
      <x:c r="E17" s="31" t="n">
        <x:f>IF(D17&lt;=MIN('Исходные кривые'!$B$4:$L$4),INDEX('Исходные кривые'!$B$5:$L$5,1,1),IF(D17&gt;=MAX('Исходные кривые'!$B$4:$L$4),INDEX('Исходные кривые'!$B$5:$L$5,1,COLUMNS('Исходные кривые'!$B$5:$L$5)),INDEX('Исходные кривые'!$B$5:$L$5,1,MATCH(D17,'Исходные кривые'!$B$4:$L$4,1))+(D17-INDEX('Исходные кривые'!$B$4:$L$4,1,MATCH(D17,'Исходные кривые'!$B$4:$L$4,1)))*(INDEX('Исходные кривые'!$B$5:$L$5,1,MATCH(D17,'Исходные кривые'!$B$4:$L$4,1)+1)-INDEX('Исходные кривые'!$B$5:$L$5,1,MATCH(D17,'Исходные кривые'!$B$4:$L$4,1)))/(INDEX('Исходные кривые'!$B$4:$L$4,1,MATCH(D17,'Исходные кривые'!$B$4:$L$4,1)+1)-INDEX('Исходные кривые'!$B$4:$L$4,1,MATCH(D17,'Исходные кривые'!$B$4:$L$4,1)))))</x:f>
        <x:v>14.977534246575342</x:v>
      </x:c>
      <x:c r="F17" s="31" t="n">
        <x:f>IF(D17&lt;=MIN('Исходные кривые'!$B$8:$N$8),INDEX('Исходные кривые'!$B$9:$N$9,1,1),IF(D17&gt;=MAX('Исходные кривые'!$B$8:$N$8),INDEX('Исходные кривые'!$B$9:$N$9,1,COLUMNS('Исходные кривые'!$B$9:$N$9)),INDEX('Исходные кривые'!$B$9:$N$9,1,MATCH(D17,'Исходные кривые'!$B$8:$N$8,1))+(D17-INDEX('Исходные кривые'!$B$8:$N$8,1,MATCH(D17,'Исходные кривые'!$B$8:$N$8,1)))*(INDEX('Исходные кривые'!$B$9:$N$9,1,MATCH(D17,'Исходные кривые'!$B$8:$N$8,1)+1)-INDEX('Исходные кривые'!$B$9:$N$9,1,MATCH(D17,'Исходные кривые'!$B$8:$N$8,1)))/(INDEX('Исходные кривые'!$B$8:$N$8,1,MATCH(D17,'Исходные кривые'!$B$8:$N$8,1)+1)-INDEX('Исходные кривые'!$B$8:$N$8,1,MATCH(D17,'Исходные кривые'!$B$8:$N$8,1)))))</x:f>
        <x:v>16.977534246575342</x:v>
      </x:c>
      <x:c r="G17" s="31" t="n">
        <x:f>IF(D17&lt;=MIN('Исходные кривые'!$B$12:$K$12),INDEX('Исходные кривые'!$B$13:$K$13,1,1),IF(D17&gt;=MAX('Исходные кривые'!$B$12:$K$12),INDEX('Исходные кривые'!$B$13:$K$13,1,COLUMNS('Исходные кривые'!$B$13:$K$13)),INDEX('Исходные кривые'!$B$13:$K$13,1,MATCH(D17,'Исходные кривые'!$B$12:$K$12,1))+(D17-INDEX('Исходные кривые'!$B$12:$K$12,1,MATCH(D17,'Исходные кривые'!$B$12:$K$12,1)))*(INDEX('Исходные кривые'!$B$13:$K$13,1,MATCH(D17,'Исходные кривые'!$B$12:$K$12,1)+1)-INDEX('Исходные кривые'!$B$13:$K$13,1,MATCH(D17,'Исходные кривые'!$B$12:$K$12,1)))/(INDEX('Исходные кривые'!$B$12:$K$12,1,MATCH(D17,'Исходные кривые'!$B$12:$K$12,1)+1)-INDEX('Исходные кривые'!$B$12:$K$12,1,MATCH(D17,'Исходные кривые'!$B$12:$K$12,1)))))</x:f>
        <x:v>50.794520547945204</x:v>
      </x:c>
      <x:c r="H17" s="31" t="n">
        <x:f>IF(D17&lt;=MIN('Исходные кривые'!$B$12:$K$12),INDEX('Исходные кривые'!$B$14:$K$14,1,1),IF(D17&gt;=MAX('Исходные кривые'!$B$12:$K$12),INDEX('Исходные кривые'!$B$14:$K$14,1,COLUMNS('Исходные кривые'!$B$14:$K$14)),INDEX('Исходные кривые'!$B$14:$K$14,1,MATCH(D17,'Исходные кривые'!$B$12:$K$12,1))+(D17-INDEX('Исходные кривые'!$B$12:$K$12,1,MATCH(D17,'Исходные кривые'!$B$12:$K$12,1)))*(INDEX('Исходные кривые'!$B$14:$K$14,1,MATCH(D17,'Исходные кривые'!$B$12:$K$12,1)+1)-INDEX('Исходные кривые'!$B$14:$K$14,1,MATCH(D17,'Исходные кривые'!$B$12:$K$12,1)))/(INDEX('Исходные кривые'!$B$12:$K$12,1,MATCH(D17,'Исходные кривые'!$B$12:$K$12,1)+1)-INDEX('Исходные кривые'!$B$12:$K$12,1,MATCH(D17,'Исходные кривые'!$B$12:$K$12,1)))))</x:f>
        <x:v>-27.465753424657535</x:v>
      </x:c>
      <x:c r="I17" s="31" t="n">
        <x:f>IF(D17&lt;=MIN('Исходные кривые'!$B$17:$L$17),INDEX('Исходные кривые'!$B$18:$L$18,1,1),IF(D17&gt;=MAX('Исходные кривые'!$B$17:$L$17),INDEX('Исходные кривые'!$B$18:$L$18,1,COLUMNS('Исходные кривые'!$B$18:$L$18)),INDEX('Исходные кривые'!$B$18:$L$18,1,MATCH(D17,'Исходные кривые'!$B$17:$L$17,1))+(D17-INDEX('Исходные кривые'!$B$17:$L$17,1,MATCH(D17,'Исходные кривые'!$B$17:$L$17,1)))*(INDEX('Исходные кривые'!$B$18:$L$18,1,MATCH(D17,'Исходные кривые'!$B$17:$L$17,1)+1)-INDEX('Исходные кривые'!$B$18:$L$18,1,MATCH(D17,'Исходные кривые'!$B$17:$L$17,1)))/(INDEX('Исходные кривые'!$B$17:$L$17,1,MATCH(D17,'Исходные кривые'!$B$17:$L$17,1)+1)-INDEX('Исходные кривые'!$B$17:$L$17,1,MATCH(D17,'Исходные кривые'!$B$17:$L$17,1)))))</x:f>
        <x:v>6.098630136986301</x:v>
      </x:c>
      <x:c r="J17" s="31" t="n">
        <x:f>IF(D17&lt;=MIN('Исходные кривые'!$B$17:$L$17),INDEX('Исходные кривые'!$B$19:$L$19,1,1),IF(D17&gt;=MAX('Исходные кривые'!$B$17:$L$17),INDEX('Исходные кривые'!$B$19:$L$19,1,COLUMNS('Исходные кривые'!$B$19:$L$19)),INDEX('Исходные кривые'!$B$19:$L$19,1,MATCH(D17,'Исходные кривые'!$B$17:$L$17,1))+(D17-INDEX('Исходные кривые'!$B$17:$L$17,1,MATCH(D17,'Исходные кривые'!$B$17:$L$17,1)))*(INDEX('Исходные кривые'!$B$19:$L$19,1,MATCH(D17,'Исходные кривые'!$B$17:$L$17,1)+1)-INDEX('Исходные кривые'!$B$19:$L$19,1,MATCH(D17,'Исходные кривые'!$B$17:$L$17,1)))/(INDEX('Исходные кривые'!$B$17:$L$17,1,MATCH(D17,'Исходные кривые'!$B$17:$L$17,1)+1)-INDEX('Исходные кривые'!$B$17:$L$17,1,MATCH(D17,'Исходные кривые'!$B$17:$L$17,1)))))</x:f>
        <x:v>-2.7849315068493152</x:v>
      </x:c>
    </x:row>
    <x:row r="18">
      <x:c r="A18" s="26" t="str">
        <x:v>Купонные даты</x:v>
      </x:c>
      <x:c r="B18" s="27" t="n">
        <x:v>47870</x:v>
      </x:c>
      <x:c r="C18" s="30" t="n">
        <x:f>B18-'Настройки'!$B$4</x:f>
        <x:v>1667</x:v>
      </x:c>
      <x:c r="D18" s="31" t="n">
        <x:f>C18/'Настройки'!$B$5</x:f>
        <x:v>4.567123287671233</x:v>
      </x:c>
      <x:c r="E18" s="31" t="n">
        <x:f>IF(D18&lt;=MIN('Исходные кривые'!$B$4:$L$4),INDEX('Исходные кривые'!$B$5:$L$5,1,1),IF(D18&gt;=MAX('Исходные кривые'!$B$4:$L$4),INDEX('Исходные кривые'!$B$5:$L$5,1,COLUMNS('Исходные кривые'!$B$5:$L$5)),INDEX('Исходные кривые'!$B$5:$L$5,1,MATCH(D18,'Исходные кривые'!$B$4:$L$4,1))+(D18-INDEX('Исходные кривые'!$B$4:$L$4,1,MATCH(D18,'Исходные кривые'!$B$4:$L$4,1)))*(INDEX('Исходные кривые'!$B$5:$L$5,1,MATCH(D18,'Исходные кривые'!$B$4:$L$4,1)+1)-INDEX('Исходные кривые'!$B$5:$L$5,1,MATCH(D18,'Исходные кривые'!$B$4:$L$4,1)))/(INDEX('Исходные кривые'!$B$4:$L$4,1,MATCH(D18,'Исходные кривые'!$B$4:$L$4,1)+1)-INDEX('Исходные кривые'!$B$4:$L$4,1,MATCH(D18,'Исходные кривые'!$B$4:$L$4,1)))))</x:f>
        <x:v>15.214383561643835</x:v>
      </x:c>
      <x:c r="F18" s="31" t="n">
        <x:f>IF(D18&lt;=MIN('Исходные кривые'!$B$8:$N$8),INDEX('Исходные кривые'!$B$9:$N$9,1,1),IF(D18&gt;=MAX('Исходные кривые'!$B$8:$N$8),INDEX('Исходные кривые'!$B$9:$N$9,1,COLUMNS('Исходные кривые'!$B$9:$N$9)),INDEX('Исходные кривые'!$B$9:$N$9,1,MATCH(D18,'Исходные кривые'!$B$8:$N$8,1))+(D18-INDEX('Исходные кривые'!$B$8:$N$8,1,MATCH(D18,'Исходные кривые'!$B$8:$N$8,1)))*(INDEX('Исходные кривые'!$B$9:$N$9,1,MATCH(D18,'Исходные кривые'!$B$8:$N$8,1)+1)-INDEX('Исходные кривые'!$B$9:$N$9,1,MATCH(D18,'Исходные кривые'!$B$8:$N$8,1)))/(INDEX('Исходные кривые'!$B$8:$N$8,1,MATCH(D18,'Исходные кривые'!$B$8:$N$8,1)+1)-INDEX('Исходные кривые'!$B$8:$N$8,1,MATCH(D18,'Исходные кривые'!$B$8:$N$8,1)))))</x:f>
        <x:v>17.214383561643835</x:v>
      </x:c>
      <x:c r="G18" s="31" t="n">
        <x:f>IF(D18&lt;=MIN('Исходные кривые'!$B$12:$K$12),INDEX('Исходные кривые'!$B$13:$K$13,1,1),IF(D18&gt;=MAX('Исходные кривые'!$B$12:$K$12),INDEX('Исходные кривые'!$B$13:$K$13,1,COLUMNS('Исходные кривые'!$B$13:$K$13)),INDEX('Исходные кривые'!$B$13:$K$13,1,MATCH(D18,'Исходные кривые'!$B$12:$K$12,1))+(D18-INDEX('Исходные кривые'!$B$12:$K$12,1,MATCH(D18,'Исходные кривые'!$B$12:$K$12,1)))*(INDEX('Исходные кривые'!$B$13:$K$13,1,MATCH(D18,'Исходные кривые'!$B$12:$K$12,1)+1)-INDEX('Исходные кривые'!$B$13:$K$13,1,MATCH(D18,'Исходные кривые'!$B$12:$K$12,1)))/(INDEX('Исходные кривые'!$B$12:$K$12,1,MATCH(D18,'Исходные кривые'!$B$12:$K$12,1)+1)-INDEX('Исходные кривые'!$B$12:$K$12,1,MATCH(D18,'Исходные кривые'!$B$12:$K$12,1)))))</x:f>
        <x:v>49.298630136986304</x:v>
      </x:c>
      <x:c r="H18" s="31" t="n">
        <x:f>IF(D18&lt;=MIN('Исходные кривые'!$B$12:$K$12),INDEX('Исходные кривые'!$B$14:$K$14,1,1),IF(D18&gt;=MAX('Исходные кривые'!$B$12:$K$12),INDEX('Исходные кривые'!$B$14:$K$14,1,COLUMNS('Исходные кривые'!$B$14:$K$14)),INDEX('Исходные кривые'!$B$14:$K$14,1,MATCH(D18,'Исходные кривые'!$B$12:$K$12,1))+(D18-INDEX('Исходные кривые'!$B$12:$K$12,1,MATCH(D18,'Исходные кривые'!$B$12:$K$12,1)))*(INDEX('Исходные кривые'!$B$14:$K$14,1,MATCH(D18,'Исходные кривые'!$B$12:$K$12,1)+1)-INDEX('Исходные кривые'!$B$14:$K$14,1,MATCH(D18,'Исходные кривые'!$B$12:$K$12,1)))/(INDEX('Исходные кривые'!$B$12:$K$12,1,MATCH(D18,'Исходные кривые'!$B$12:$K$12,1)+1)-INDEX('Исходные кривые'!$B$12:$K$12,1,MATCH(D18,'Исходные кривые'!$B$12:$K$12,1)))))</x:f>
        <x:v>-27.21643835616438</x:v>
      </x:c>
      <x:c r="I18" s="31" t="n">
        <x:f>IF(D18&lt;=MIN('Исходные кривые'!$B$17:$L$17),INDEX('Исходные кривые'!$B$18:$L$18,1,1),IF(D18&gt;=MAX('Исходные кривые'!$B$17:$L$17),INDEX('Исходные кривые'!$B$18:$L$18,1,COLUMNS('Исходные кривые'!$B$18:$L$18)),INDEX('Исходные кривые'!$B$18:$L$18,1,MATCH(D18,'Исходные кривые'!$B$17:$L$17,1))+(D18-INDEX('Исходные кривые'!$B$17:$L$17,1,MATCH(D18,'Исходные кривые'!$B$17:$L$17,1)))*(INDEX('Исходные кривые'!$B$18:$L$18,1,MATCH(D18,'Исходные кривые'!$B$17:$L$17,1)+1)-INDEX('Исходные кривые'!$B$18:$L$18,1,MATCH(D18,'Исходные кривые'!$B$17:$L$17,1)))/(INDEX('Исходные кривые'!$B$17:$L$17,1,MATCH(D18,'Исходные кривые'!$B$17:$L$17,1)+1)-INDEX('Исходные кривые'!$B$17:$L$17,1,MATCH(D18,'Исходные кривые'!$B$17:$L$17,1)))))</x:f>
        <x:v>5.7246575342465755</x:v>
      </x:c>
      <x:c r="J18" s="31" t="n">
        <x:f>IF(D18&lt;=MIN('Исходные кривые'!$B$17:$L$17),INDEX('Исходные кривые'!$B$19:$L$19,1,1),IF(D18&gt;=MAX('Исходные кривые'!$B$17:$L$17),INDEX('Исходные кривые'!$B$19:$L$19,1,COLUMNS('Исходные кривые'!$B$19:$L$19)),INDEX('Исходные кривые'!$B$19:$L$19,1,MATCH(D18,'Исходные кривые'!$B$17:$L$17,1))+(D18-INDEX('Исходные кривые'!$B$17:$L$17,1,MATCH(D18,'Исходные кривые'!$B$17:$L$17,1)))*(INDEX('Исходные кривые'!$B$19:$L$19,1,MATCH(D18,'Исходные кривые'!$B$17:$L$17,1)+1)-INDEX('Исходные кривые'!$B$19:$L$19,1,MATCH(D18,'Исходные кривые'!$B$17:$L$17,1)))/(INDEX('Исходные кривые'!$B$17:$L$17,1,MATCH(D18,'Исходные кривые'!$B$17:$L$17,1)+1)-INDEX('Исходные кривые'!$B$17:$L$17,1,MATCH(D18,'Исходные кривые'!$B$17:$L$17,1)))))</x:f>
        <x:v>-2.3112328767123285</x:v>
      </x:c>
    </x:row>
    <x:row r="19">
      <x:c r="A19" s="26" t="str">
        <x:v>Купон — 23.07.2031</x:v>
      </x:c>
      <x:c r="B19" s="27" t="n">
        <x:v>48052</x:v>
      </x:c>
      <x:c r="C19" s="30" t="n">
        <x:f>B19-'Настройки'!$B$4</x:f>
        <x:v>1849</x:v>
      </x:c>
      <x:c r="D19" s="31" t="n">
        <x:f>C19/'Настройки'!$B$5</x:f>
        <x:v>5.065753424657534</x:v>
      </x:c>
      <x:c r="E19" s="31" t="n">
        <x:f>IF(D19&lt;=MIN('Исходные кривые'!$B$4:$L$4),INDEX('Исходные кривые'!$B$5:$L$5,1,1),IF(D19&gt;=MAX('Исходные кривые'!$B$4:$L$4),INDEX('Исходные кривые'!$B$5:$L$5,1,COLUMNS('Исходные кривые'!$B$5:$L$5)),INDEX('Исходные кривые'!$B$5:$L$5,1,MATCH(D19,'Исходные кривые'!$B$4:$L$4,1))+(D19-INDEX('Исходные кривые'!$B$4:$L$4,1,MATCH(D19,'Исходные кривые'!$B$4:$L$4,1)))*(INDEX('Исходные кривые'!$B$5:$L$5,1,MATCH(D19,'Исходные кривые'!$B$4:$L$4,1)+1)-INDEX('Исходные кривые'!$B$5:$L$5,1,MATCH(D19,'Исходные кривые'!$B$4:$L$4,1)))/(INDEX('Исходные кривые'!$B$4:$L$4,1,MATCH(D19,'Исходные кривые'!$B$4:$L$4,1)+1)-INDEX('Исходные кривые'!$B$4:$L$4,1,MATCH(D19,'Исходные кривые'!$B$4:$L$4,1)))))</x:f>
        <x:v>15.43841095890411</x:v>
      </x:c>
      <x:c r="F19" s="31" t="n">
        <x:f>IF(D19&lt;=MIN('Исходные кривые'!$B$8:$N$8),INDEX('Исходные кривые'!$B$9:$N$9,1,1),IF(D19&gt;=MAX('Исходные кривые'!$B$8:$N$8),INDEX('Исходные кривые'!$B$9:$N$9,1,COLUMNS('Исходные кривые'!$B$9:$N$9)),INDEX('Исходные кривые'!$B$9:$N$9,1,MATCH(D19,'Исходные кривые'!$B$8:$N$8,1))+(D19-INDEX('Исходные кривые'!$B$8:$N$8,1,MATCH(D19,'Исходные кривые'!$B$8:$N$8,1)))*(INDEX('Исходные кривые'!$B$9:$N$9,1,MATCH(D19,'Исходные кривые'!$B$8:$N$8,1)+1)-INDEX('Исходные кривые'!$B$9:$N$9,1,MATCH(D19,'Исходные кривые'!$B$8:$N$8,1)))/(INDEX('Исходные кривые'!$B$8:$N$8,1,MATCH(D19,'Исходные кривые'!$B$8:$N$8,1)+1)-INDEX('Исходные кривые'!$B$8:$N$8,1,MATCH(D19,'Исходные кривые'!$B$8:$N$8,1)))))</x:f>
        <x:v>17.43841095890411</x:v>
      </x:c>
      <x:c r="G19" s="31" t="n">
        <x:f>IF(D19&lt;=MIN('Исходные кривые'!$B$12:$K$12),INDEX('Исходные кривые'!$B$13:$K$13,1,1),IF(D19&gt;=MAX('Исходные кривые'!$B$12:$K$12),INDEX('Исходные кривые'!$B$13:$K$13,1,COLUMNS('Исходные кривые'!$B$13:$K$13)),INDEX('Исходные кривые'!$B$13:$K$13,1,MATCH(D19,'Исходные кривые'!$B$12:$K$12,1))+(D19-INDEX('Исходные кривые'!$B$12:$K$12,1,MATCH(D19,'Исходные кривые'!$B$12:$K$12,1)))*(INDEX('Исходные кривые'!$B$13:$K$13,1,MATCH(D19,'Исходные кривые'!$B$12:$K$12,1)+1)-INDEX('Исходные кривые'!$B$13:$K$13,1,MATCH(D19,'Исходные кривые'!$B$12:$K$12,1)))/(INDEX('Исходные кривые'!$B$12:$K$12,1,MATCH(D19,'Исходные кривые'!$B$12:$K$12,1)+1)-INDEX('Исходные кривые'!$B$12:$K$12,1,MATCH(D19,'Исходные кривые'!$B$12:$K$12,1)))))</x:f>
        <x:v>47.8027397260274</x:v>
      </x:c>
      <x:c r="H19" s="31" t="n">
        <x:f>IF(D19&lt;=MIN('Исходные кривые'!$B$12:$K$12),INDEX('Исходные кривые'!$B$14:$K$14,1,1),IF(D19&gt;=MAX('Исходные кривые'!$B$12:$K$12),INDEX('Исходные кривые'!$B$14:$K$14,1,COLUMNS('Исходные кривые'!$B$14:$K$14)),INDEX('Исходные кривые'!$B$14:$K$14,1,MATCH(D19,'Исходные кривые'!$B$12:$K$12,1))+(D19-INDEX('Исходные кривые'!$B$12:$K$12,1,MATCH(D19,'Исходные кривые'!$B$12:$K$12,1)))*(INDEX('Исходные кривые'!$B$14:$K$14,1,MATCH(D19,'Исходные кривые'!$B$12:$K$12,1)+1)-INDEX('Исходные кривые'!$B$14:$K$14,1,MATCH(D19,'Исходные кривые'!$B$12:$K$12,1)))/(INDEX('Исходные кривые'!$B$12:$K$12,1,MATCH(D19,'Исходные кривые'!$B$12:$K$12,1)+1)-INDEX('Исходные кривые'!$B$12:$K$12,1,MATCH(D19,'Исходные кривые'!$B$12:$K$12,1)))))</x:f>
        <x:v>-26.96712328767123</x:v>
      </x:c>
      <x:c r="I19" s="31" t="n">
        <x:f>IF(D19&lt;=MIN('Исходные кривые'!$B$17:$L$17),INDEX('Исходные кривые'!$B$18:$L$18,1,1),IF(D19&gt;=MAX('Исходные кривые'!$B$17:$L$17),INDEX('Исходные кривые'!$B$18:$L$18,1,COLUMNS('Исходные кривые'!$B$18:$L$18)),INDEX('Исходные кривые'!$B$18:$L$18,1,MATCH(D19,'Исходные кривые'!$B$17:$L$17,1))+(D19-INDEX('Исходные кривые'!$B$17:$L$17,1,MATCH(D19,'Исходные кривые'!$B$17:$L$17,1)))*(INDEX('Исходные кривые'!$B$18:$L$18,1,MATCH(D19,'Исходные кривые'!$B$17:$L$17,1)+1)-INDEX('Исходные кривые'!$B$18:$L$18,1,MATCH(D19,'Исходные кривые'!$B$17:$L$17,1)))/(INDEX('Исходные кривые'!$B$17:$L$17,1,MATCH(D19,'Исходные кривые'!$B$17:$L$17,1)+1)-INDEX('Исходные кривые'!$B$17:$L$17,1,MATCH(D19,'Исходные кривые'!$B$17:$L$17,1)))))</x:f>
        <x:v>5.4</x:v>
      </x:c>
      <x:c r="J19" s="31" t="n">
        <x:f>IF(D19&lt;=MIN('Исходные кривые'!$B$17:$L$17),INDEX('Исходные кривые'!$B$19:$L$19,1,1),IF(D19&gt;=MAX('Исходные кривые'!$B$17:$L$17),INDEX('Исходные кривые'!$B$19:$L$19,1,COLUMNS('Исходные кривые'!$B$19:$L$19)),INDEX('Исходные кривые'!$B$19:$L$19,1,MATCH(D19,'Исходные кривые'!$B$17:$L$17,1))+(D19-INDEX('Исходные кривые'!$B$17:$L$17,1,MATCH(D19,'Исходные кривые'!$B$17:$L$17,1)))*(INDEX('Исходные кривые'!$B$19:$L$19,1,MATCH(D19,'Исходные кривые'!$B$17:$L$17,1)+1)-INDEX('Исходные кривые'!$B$19:$L$19,1,MATCH(D19,'Исходные кривые'!$B$17:$L$17,1)))/(INDEX('Исходные кривые'!$B$17:$L$17,1,MATCH(D19,'Исходные кривые'!$B$17:$L$17,1)+1)-INDEX('Исходные кривые'!$B$17:$L$17,1,MATCH(D19,'Исходные кривые'!$B$17:$L$17,1)))))</x:f>
        <x:v>-1.9</x:v>
      </x:c>
    </x:row>
    <x:row r="20">
      <x:c r="A20" s="26" t="str">
        <x:v>Номинал — 23.07.2031</x:v>
      </x:c>
      <x:c r="B20" s="27" t="n">
        <x:v>48052</x:v>
      </x:c>
      <x:c r="C20" s="30" t="n">
        <x:f>B20-'Настройки'!$B$4</x:f>
        <x:v>1849</x:v>
      </x:c>
      <x:c r="D20" s="31" t="n">
        <x:f>C20/'Настройки'!$B$5</x:f>
        <x:v>5.065753424657534</x:v>
      </x:c>
      <x:c r="E20" s="31" t="n">
        <x:f>IF(D20&lt;=MIN('Исходные кривые'!$B$4:$L$4),INDEX('Исходные кривые'!$B$5:$L$5,1,1),IF(D20&gt;=MAX('Исходные кривые'!$B$4:$L$4),INDEX('Исходные кривые'!$B$5:$L$5,1,COLUMNS('Исходные кривые'!$B$5:$L$5)),INDEX('Исходные кривые'!$B$5:$L$5,1,MATCH(D20,'Исходные кривые'!$B$4:$L$4,1))+(D20-INDEX('Исходные кривые'!$B$4:$L$4,1,MATCH(D20,'Исходные кривые'!$B$4:$L$4,1)))*(INDEX('Исходные кривые'!$B$5:$L$5,1,MATCH(D20,'Исходные кривые'!$B$4:$L$4,1)+1)-INDEX('Исходные кривые'!$B$5:$L$5,1,MATCH(D20,'Исходные кривые'!$B$4:$L$4,1)))/(INDEX('Исходные кривые'!$B$4:$L$4,1,MATCH(D20,'Исходные кривые'!$B$4:$L$4,1)+1)-INDEX('Исходные кривые'!$B$4:$L$4,1,MATCH(D20,'Исходные кривые'!$B$4:$L$4,1)))))</x:f>
        <x:v>15.43841095890411</x:v>
      </x:c>
      <x:c r="F20" s="31" t="n">
        <x:f>IF(D20&lt;=MIN('Исходные кривые'!$B$8:$N$8),INDEX('Исходные кривые'!$B$9:$N$9,1,1),IF(D20&gt;=MAX('Исходные кривые'!$B$8:$N$8),INDEX('Исходные кривые'!$B$9:$N$9,1,COLUMNS('Исходные кривые'!$B$9:$N$9)),INDEX('Исходные кривые'!$B$9:$N$9,1,MATCH(D20,'Исходные кривые'!$B$8:$N$8,1))+(D20-INDEX('Исходные кривые'!$B$8:$N$8,1,MATCH(D20,'Исходные кривые'!$B$8:$N$8,1)))*(INDEX('Исходные кривые'!$B$9:$N$9,1,MATCH(D20,'Исходные кривые'!$B$8:$N$8,1)+1)-INDEX('Исходные кривые'!$B$9:$N$9,1,MATCH(D20,'Исходные кривые'!$B$8:$N$8,1)))/(INDEX('Исходные кривые'!$B$8:$N$8,1,MATCH(D20,'Исходные кривые'!$B$8:$N$8,1)+1)-INDEX('Исходные кривые'!$B$8:$N$8,1,MATCH(D20,'Исходные кривые'!$B$8:$N$8,1)))))</x:f>
        <x:v>17.43841095890411</x:v>
      </x:c>
      <x:c r="G20" s="31" t="n">
        <x:f>IF(D20&lt;=MIN('Исходные кривые'!$B$12:$K$12),INDEX('Исходные кривые'!$B$13:$K$13,1,1),IF(D20&gt;=MAX('Исходные кривые'!$B$12:$K$12),INDEX('Исходные кривые'!$B$13:$K$13,1,COLUMNS('Исходные кривые'!$B$13:$K$13)),INDEX('Исходные кривые'!$B$13:$K$13,1,MATCH(D20,'Исходные кривые'!$B$12:$K$12,1))+(D20-INDEX('Исходные кривые'!$B$12:$K$12,1,MATCH(D20,'Исходные кривые'!$B$12:$K$12,1)))*(INDEX('Исходные кривые'!$B$13:$K$13,1,MATCH(D20,'Исходные кривые'!$B$12:$K$12,1)+1)-INDEX('Исходные кривые'!$B$13:$K$13,1,MATCH(D20,'Исходные кривые'!$B$12:$K$12,1)))/(INDEX('Исходные кривые'!$B$12:$K$12,1,MATCH(D20,'Исходные кривые'!$B$12:$K$12,1)+1)-INDEX('Исходные кривые'!$B$12:$K$12,1,MATCH(D20,'Исходные кривые'!$B$12:$K$12,1)))))</x:f>
        <x:v>47.8027397260274</x:v>
      </x:c>
      <x:c r="H20" s="31" t="n">
        <x:f>IF(D20&lt;=MIN('Исходные кривые'!$B$12:$K$12),INDEX('Исходные кривые'!$B$14:$K$14,1,1),IF(D20&gt;=MAX('Исходные кривые'!$B$12:$K$12),INDEX('Исходные кривые'!$B$14:$K$14,1,COLUMNS('Исходные кривые'!$B$14:$K$14)),INDEX('Исходные кривые'!$B$14:$K$14,1,MATCH(D20,'Исходные кривые'!$B$12:$K$12,1))+(D20-INDEX('Исходные кривые'!$B$12:$K$12,1,MATCH(D20,'Исходные кривые'!$B$12:$K$12,1)))*(INDEX('Исходные кривые'!$B$14:$K$14,1,MATCH(D20,'Исходные кривые'!$B$12:$K$12,1)+1)-INDEX('Исходные кривые'!$B$14:$K$14,1,MATCH(D20,'Исходные кривые'!$B$12:$K$12,1)))/(INDEX('Исходные кривые'!$B$12:$K$12,1,MATCH(D20,'Исходные кривые'!$B$12:$K$12,1)+1)-INDEX('Исходные кривые'!$B$12:$K$12,1,MATCH(D20,'Исходные кривые'!$B$12:$K$12,1)))))</x:f>
        <x:v>-26.96712328767123</x:v>
      </x:c>
      <x:c r="I20" s="31" t="n">
        <x:f>IF(D20&lt;=MIN('Исходные кривые'!$B$17:$L$17),INDEX('Исходные кривые'!$B$18:$L$18,1,1),IF(D20&gt;=MAX('Исходные кривые'!$B$17:$L$17),INDEX('Исходные кривые'!$B$18:$L$18,1,COLUMNS('Исходные кривые'!$B$18:$L$18)),INDEX('Исходные кривые'!$B$18:$L$18,1,MATCH(D20,'Исходные кривые'!$B$17:$L$17,1))+(D20-INDEX('Исходные кривые'!$B$17:$L$17,1,MATCH(D20,'Исходные кривые'!$B$17:$L$17,1)))*(INDEX('Исходные кривые'!$B$18:$L$18,1,MATCH(D20,'Исходные кривые'!$B$17:$L$17,1)+1)-INDEX('Исходные кривые'!$B$18:$L$18,1,MATCH(D20,'Исходные кривые'!$B$17:$L$17,1)))/(INDEX('Исходные кривые'!$B$17:$L$17,1,MATCH(D20,'Исходные кривые'!$B$17:$L$17,1)+1)-INDEX('Исходные кривые'!$B$17:$L$17,1,MATCH(D20,'Исходные кривые'!$B$17:$L$17,1)))))</x:f>
        <x:v>5.4</x:v>
      </x:c>
      <x:c r="J20" s="31" t="n">
        <x:f>IF(D20&lt;=MIN('Исходные кривые'!$B$17:$L$17),INDEX('Исходные кривые'!$B$19:$L$19,1,1),IF(D20&gt;=MAX('Исходные кривые'!$B$17:$L$17),INDEX('Исходные кривые'!$B$19:$L$19,1,COLUMNS('Исходные кривые'!$B$19:$L$19)),INDEX('Исходные кривые'!$B$19:$L$19,1,MATCH(D20,'Исходные кривые'!$B$17:$L$17,1))+(D20-INDEX('Исходные кривые'!$B$17:$L$17,1,MATCH(D20,'Исходные кривые'!$B$17:$L$17,1)))*(INDEX('Исходные кривые'!$B$19:$L$19,1,MATCH(D20,'Исходные кривые'!$B$17:$L$17,1)+1)-INDEX('Исходные кривые'!$B$19:$L$19,1,MATCH(D20,'Исходные кривые'!$B$17:$L$17,1)))/(INDEX('Исходные кривые'!$B$17:$L$17,1,MATCH(D20,'Исходные кривые'!$B$17:$L$17,1)+1)-INDEX('Исходные кривые'!$B$17:$L$17,1,MATCH(D20,'Исходные кривые'!$B$17:$L$17,1)))))</x:f>
        <x:v>-1.9</x:v>
      </x:c>
    </x:row>
    <x:row r="21">
      <x:c r="A21" s="53" t="str">
        <x:v>Новый набор — изображение 2</x:v>
      </x:c>
      <x:c r="B21" s="54" t="n">
        <x:v>46692</x:v>
      </x:c>
      <x:c r="C21" s="67" t="n">
        <x:f>B21-'Настройки'!$B$4</x:f>
        <x:v>489</x:v>
      </x:c>
      <x:c r="D21" s="68" t="n">
        <x:f>C21/'Настройки'!$B$5</x:f>
        <x:v>1.3397260273972602</x:v>
      </x:c>
      <x:c r="E21" s="68" t="n">
        <x:f>IF(D21&lt;=MIN('Исходные кривые'!$B$4:$L$4),INDEX('Исходные кривые'!$B$5:$L$5,1,1),IF(D21&gt;=MAX('Исходные кривые'!$B$4:$L$4),INDEX('Исходные кривые'!$B$5:$L$5,1,COLUMNS('Исходные кривые'!$B$5:$L$5)),INDEX('Исходные кривые'!$B$5:$L$5,1,MATCH(D21,'Исходные кривые'!$B$4:$L$4,1))+(D21-INDEX('Исходные кривые'!$B$4:$L$4,1,MATCH(D21,'Исходные кривые'!$B$4:$L$4,1)))*(INDEX('Исходные кривые'!$B$5:$L$5,1,MATCH(D21,'Исходные кривые'!$B$4:$L$4,1)+1)-INDEX('Исходные кривые'!$B$5:$L$5,1,MATCH(D21,'Исходные кривые'!$B$4:$L$4,1)))/(INDEX('Исходные кривые'!$B$4:$L$4,1,MATCH(D21,'Исходные кривые'!$B$4:$L$4,1)+1)-INDEX('Исходные кривые'!$B$4:$L$4,1,MATCH(D21,'Исходные кривые'!$B$4:$L$4,1)))))</x:f>
        <x:v>13.56627397260274</x:v>
      </x:c>
      <x:c r="F21" s="68" t="n">
        <x:f>IF(D21&lt;=MIN('Исходные кривые'!$B$8:$N$8),INDEX('Исходные кривые'!$B$9:$N$9,1,1),IF(D21&gt;=MAX('Исходные кривые'!$B$8:$N$8),INDEX('Исходные кривые'!$B$9:$N$9,1,COLUMNS('Исходные кривые'!$B$9:$N$9)),INDEX('Исходные кривые'!$B$9:$N$9,1,MATCH(D21,'Исходные кривые'!$B$8:$N$8,1))+(D21-INDEX('Исходные кривые'!$B$8:$N$8,1,MATCH(D21,'Исходные кривые'!$B$8:$N$8,1)))*(INDEX('Исходные кривые'!$B$9:$N$9,1,MATCH(D21,'Исходные кривые'!$B$8:$N$8,1)+1)-INDEX('Исходные кривые'!$B$9:$N$9,1,MATCH(D21,'Исходные кривые'!$B$8:$N$8,1)))/(INDEX('Исходные кривые'!$B$8:$N$8,1,MATCH(D21,'Исходные кривые'!$B$8:$N$8,1)+1)-INDEX('Исходные кривые'!$B$8:$N$8,1,MATCH(D21,'Исходные кривые'!$B$8:$N$8,1)))))</x:f>
        <x:v>15.56627397260274</x:v>
      </x:c>
      <x:c r="G21" s="68" t="n">
        <x:f>IF(D21&lt;=MIN('Исходные кривые'!$B$12:$K$12),INDEX('Исходные кривые'!$B$13:$K$13,1,1),IF(D21&gt;=MAX('Исходные кривые'!$B$12:$K$12),INDEX('Исходные кривые'!$B$13:$K$13,1,COLUMNS('Исходные кривые'!$B$13:$K$13)),INDEX('Исходные кривые'!$B$13:$K$13,1,MATCH(D21,'Исходные кривые'!$B$12:$K$12,1))+(D21-INDEX('Исходные кривые'!$B$12:$K$12,1,MATCH(D21,'Исходные кривые'!$B$12:$K$12,1)))*(INDEX('Исходные кривые'!$B$13:$K$13,1,MATCH(D21,'Исходные кривые'!$B$12:$K$12,1)+1)-INDEX('Исходные кривые'!$B$13:$K$13,1,MATCH(D21,'Исходные кривые'!$B$12:$K$12,1)))/(INDEX('Исходные кривые'!$B$12:$K$12,1,MATCH(D21,'Исходные кривые'!$B$12:$K$12,1)+1)-INDEX('Исходные кривые'!$B$12:$K$12,1,MATCH(D21,'Исходные кривые'!$B$12:$K$12,1)))))</x:f>
        <x:v>56.98082191780822</x:v>
      </x:c>
      <x:c r="H21" s="68" t="n">
        <x:f>IF(D21&lt;=MIN('Исходные кривые'!$B$12:$K$12),INDEX('Исходные кривые'!$B$14:$K$14,1,1),IF(D21&gt;=MAX('Исходные кривые'!$B$12:$K$12),INDEX('Исходные кривые'!$B$14:$K$14,1,COLUMNS('Исходные кривые'!$B$14:$K$14)),INDEX('Исходные кривые'!$B$14:$K$14,1,MATCH(D21,'Исходные кривые'!$B$12:$K$12,1))+(D21-INDEX('Исходные кривые'!$B$12:$K$12,1,MATCH(D21,'Исходные кривые'!$B$12:$K$12,1)))*(INDEX('Исходные кривые'!$B$14:$K$14,1,MATCH(D21,'Исходные кривые'!$B$12:$K$12,1)+1)-INDEX('Исходные кривые'!$B$14:$K$14,1,MATCH(D21,'Исходные кривые'!$B$12:$K$12,1)))/(INDEX('Исходные кривые'!$B$12:$K$12,1,MATCH(D21,'Исходные кривые'!$B$12:$K$12,1)+1)-INDEX('Исходные кривые'!$B$12:$K$12,1,MATCH(D21,'Исходные кривые'!$B$12:$K$12,1)))))</x:f>
        <x:v>-30.32054794520548</x:v>
      </x:c>
      <x:c r="I21" s="68" t="n">
        <x:f>IF(D21&lt;=MIN('Исходные кривые'!$B$17:$L$17),INDEX('Исходные кривые'!$B$18:$L$18,1,1),IF(D21&gt;=MAX('Исходные кривые'!$B$17:$L$17),INDEX('Исходные кривые'!$B$18:$L$18,1,COLUMNS('Исходные кривые'!$B$18:$L$18)),INDEX('Исходные кривые'!$B$18:$L$18,1,MATCH(D21,'Исходные кривые'!$B$17:$L$17,1))+(D21-INDEX('Исходные кривые'!$B$17:$L$17,1,MATCH(D21,'Исходные кривые'!$B$17:$L$17,1)))*(INDEX('Исходные кривые'!$B$18:$L$18,1,MATCH(D21,'Исходные кривые'!$B$17:$L$17,1)+1)-INDEX('Исходные кривые'!$B$18:$L$18,1,MATCH(D21,'Исходные кривые'!$B$17:$L$17,1)))/(INDEX('Исходные кривые'!$B$17:$L$17,1,MATCH(D21,'Исходные кривые'!$B$17:$L$17,1)+1)-INDEX('Исходные кривые'!$B$17:$L$17,1,MATCH(D21,'Исходные кривые'!$B$17:$L$17,1)))))</x:f>
        <x:v>6.424657534246576</x:v>
      </x:c>
      <x:c r="J21" s="68" t="n">
        <x:f>IF(D21&lt;=MIN('Исходные кривые'!$B$17:$L$17),INDEX('Исходные кривые'!$B$19:$L$19,1,1),IF(D21&gt;=MAX('Исходные кривые'!$B$17:$L$17),INDEX('Исходные кривые'!$B$19:$L$19,1,COLUMNS('Исходные кривые'!$B$19:$L$19)),INDEX('Исходные кривые'!$B$19:$L$19,1,MATCH(D21,'Исходные кривые'!$B$17:$L$17,1))+(D21-INDEX('Исходные кривые'!$B$17:$L$17,1,MATCH(D21,'Исходные кривые'!$B$17:$L$17,1)))*(INDEX('Исходные кривые'!$B$19:$L$19,1,MATCH(D21,'Исходные кривые'!$B$17:$L$17,1)+1)-INDEX('Исходные кривые'!$B$19:$L$19,1,MATCH(D21,'Исходные кривые'!$B$17:$L$17,1)))/(INDEX('Исходные кривые'!$B$17:$L$17,1,MATCH(D21,'Исходные кривые'!$B$17:$L$17,1)+1)-INDEX('Исходные кривые'!$B$17:$L$17,1,MATCH(D21,'Исходные кривые'!$B$17:$L$17,1)))))</x:f>
        <x:v>-4.898082191780822</x:v>
      </x:c>
    </x:row>
    <x:row r="22">
      <x:c r="A22" s="47" t="str">
        <x:v>Новый набор — изображение 2</x:v>
      </x:c>
      <x:c r="B22" s="48" t="n">
        <x:v>46784</x:v>
      </x:c>
      <x:c r="C22" s="69" t="n">
        <x:f>B22-'Настройки'!$B$4</x:f>
        <x:v>581</x:v>
      </x:c>
      <x:c r="D22" s="70" t="n">
        <x:f>C22/'Настройки'!$B$5</x:f>
        <x:v>1.5917808219178082</x:v>
      </x:c>
      <x:c r="E22" s="70" t="n">
        <x:f>IF(D22&lt;=MIN('Исходные кривые'!$B$4:$L$4),INDEX('Исходные кривые'!$B$5:$L$5,1,1),IF(D22&gt;=MAX('Исходные кривые'!$B$4:$L$4),INDEX('Исходные кривые'!$B$5:$L$5,1,COLUMNS('Исходные кривые'!$B$5:$L$5)),INDEX('Исходные кривые'!$B$5:$L$5,1,MATCH(D22,'Исходные кривые'!$B$4:$L$4,1))+(D22-INDEX('Исходные кривые'!$B$4:$L$4,1,MATCH(D22,'Исходные кривые'!$B$4:$L$4,1)))*(INDEX('Исходные кривые'!$B$5:$L$5,1,MATCH(D22,'Исходные кривые'!$B$4:$L$4,1)+1)-INDEX('Исходные кривые'!$B$5:$L$5,1,MATCH(D22,'Исходные кривые'!$B$4:$L$4,1)))/(INDEX('Исходные кривые'!$B$4:$L$4,1,MATCH(D22,'Исходные кривые'!$B$4:$L$4,1)+1)-INDEX('Исходные кривые'!$B$4:$L$4,1,MATCH(D22,'Исходные кривые'!$B$4:$L$4,1)))))</x:f>
        <x:v>13.68221917808219</x:v>
      </x:c>
      <x:c r="F22" s="70" t="n">
        <x:f>IF(D22&lt;=MIN('Исходные кривые'!$B$8:$N$8),INDEX('Исходные кривые'!$B$9:$N$9,1,1),IF(D22&gt;=MAX('Исходные кривые'!$B$8:$N$8),INDEX('Исходные кривые'!$B$9:$N$9,1,COLUMNS('Исходные кривые'!$B$9:$N$9)),INDEX('Исходные кривые'!$B$9:$N$9,1,MATCH(D22,'Исходные кривые'!$B$8:$N$8,1))+(D22-INDEX('Исходные кривые'!$B$8:$N$8,1,MATCH(D22,'Исходные кривые'!$B$8:$N$8,1)))*(INDEX('Исходные кривые'!$B$9:$N$9,1,MATCH(D22,'Исходные кривые'!$B$8:$N$8,1)+1)-INDEX('Исходные кривые'!$B$9:$N$9,1,MATCH(D22,'Исходные кривые'!$B$8:$N$8,1)))/(INDEX('Исходные кривые'!$B$8:$N$8,1,MATCH(D22,'Исходные кривые'!$B$8:$N$8,1)+1)-INDEX('Исходные кривые'!$B$8:$N$8,1,MATCH(D22,'Исходные кривые'!$B$8:$N$8,1)))))</x:f>
        <x:v>15.68221917808219</x:v>
      </x:c>
      <x:c r="G22" s="70" t="n">
        <x:f>IF(D22&lt;=MIN('Исходные кривые'!$B$12:$K$12),INDEX('Исходные кривые'!$B$13:$K$13,1,1),IF(D22&gt;=MAX('Исходные кривые'!$B$12:$K$12),INDEX('Исходные кривые'!$B$13:$K$13,1,COLUMNS('Исходные кривые'!$B$13:$K$13)),INDEX('Исходные кривые'!$B$13:$K$13,1,MATCH(D22,'Исходные кривые'!$B$12:$K$12,1))+(D22-INDEX('Исходные кривые'!$B$12:$K$12,1,MATCH(D22,'Исходные кривые'!$B$12:$K$12,1)))*(INDEX('Исходные кривые'!$B$13:$K$13,1,MATCH(D22,'Исходные кривые'!$B$12:$K$12,1)+1)-INDEX('Исходные кривые'!$B$13:$K$13,1,MATCH(D22,'Исходные кривые'!$B$12:$K$12,1)))/(INDEX('Исходные кривые'!$B$12:$K$12,1,MATCH(D22,'Исходные кривые'!$B$12:$K$12,1)+1)-INDEX('Исходные кривые'!$B$12:$K$12,1,MATCH(D22,'Исходные кривые'!$B$12:$K$12,1)))))</x:f>
        <x:v>56.224657534246575</x:v>
      </x:c>
      <x:c r="H22" s="70" t="n">
        <x:f>IF(D22&lt;=MIN('Исходные кривые'!$B$12:$K$12),INDEX('Исходные кривые'!$B$14:$K$14,1,1),IF(D22&gt;=MAX('Исходные кривые'!$B$12:$K$12),INDEX('Исходные кривые'!$B$14:$K$14,1,COLUMNS('Исходные кривые'!$B$14:$K$14)),INDEX('Исходные кривые'!$B$14:$K$14,1,MATCH(D22,'Исходные кривые'!$B$12:$K$12,1))+(D22-INDEX('Исходные кривые'!$B$12:$K$12,1,MATCH(D22,'Исходные кривые'!$B$12:$K$12,1)))*(INDEX('Исходные кривые'!$B$14:$K$14,1,MATCH(D22,'Исходные кривые'!$B$12:$K$12,1)+1)-INDEX('Исходные кривые'!$B$14:$K$14,1,MATCH(D22,'Исходные кривые'!$B$12:$K$12,1)))/(INDEX('Исходные кривые'!$B$12:$K$12,1,MATCH(D22,'Исходные кривые'!$B$12:$K$12,1)+1)-INDEX('Исходные кривые'!$B$12:$K$12,1,MATCH(D22,'Исходные кривые'!$B$12:$K$12,1)))))</x:f>
        <x:v>-29.816438356164383</x:v>
      </x:c>
      <x:c r="I22" s="70" t="n">
        <x:f>IF(D22&lt;=MIN('Исходные кривые'!$B$17:$L$17),INDEX('Исходные кривые'!$B$18:$L$18,1,1),IF(D22&gt;=MAX('Исходные кривые'!$B$17:$L$17),INDEX('Исходные кривые'!$B$18:$L$18,1,COLUMNS('Исходные кривые'!$B$18:$L$18)),INDEX('Исходные кривые'!$B$18:$L$18,1,MATCH(D22,'Исходные кривые'!$B$17:$L$17,1))+(D22-INDEX('Исходные кривые'!$B$17:$L$17,1,MATCH(D22,'Исходные кривые'!$B$17:$L$17,1)))*(INDEX('Исходные кривые'!$B$18:$L$18,1,MATCH(D22,'Исходные кривые'!$B$17:$L$17,1)+1)-INDEX('Исходные кривые'!$B$18:$L$18,1,MATCH(D22,'Исходные кривые'!$B$17:$L$17,1)))/(INDEX('Исходные кривые'!$B$17:$L$17,1,MATCH(D22,'Исходные кривые'!$B$17:$L$17,1)+1)-INDEX('Исходные кривые'!$B$17:$L$17,1,MATCH(D22,'Исходные кривые'!$B$17:$L$17,1)))))</x:f>
        <x:v>6.739726027397261</x:v>
      </x:c>
      <x:c r="J22" s="70" t="n">
        <x:f>IF(D22&lt;=MIN('Исходные кривые'!$B$17:$L$17),INDEX('Исходные кривые'!$B$19:$L$19,1,1),IF(D22&gt;=MAX('Исходные кривые'!$B$17:$L$17),INDEX('Исходные кривые'!$B$19:$L$19,1,COLUMNS('Исходные кривые'!$B$19:$L$19)),INDEX('Исходные кривые'!$B$19:$L$19,1,MATCH(D22,'Исходные кривые'!$B$17:$L$17,1))+(D22-INDEX('Исходные кривые'!$B$17:$L$17,1,MATCH(D22,'Исходные кривые'!$B$17:$L$17,1)))*(INDEX('Исходные кривые'!$B$19:$L$19,1,MATCH(D22,'Исходные кривые'!$B$17:$L$17,1)+1)-INDEX('Исходные кривые'!$B$19:$L$19,1,MATCH(D22,'Исходные кривые'!$B$17:$L$17,1)))/(INDEX('Исходные кривые'!$B$17:$L$17,1,MATCH(D22,'Исходные кривые'!$B$17:$L$17,1)+1)-INDEX('Исходные кривые'!$B$17:$L$17,1,MATCH(D22,'Исходные кривые'!$B$17:$L$17,1)))))</x:f>
        <x:v>-4.822465753424658</x:v>
      </x:c>
    </x:row>
    <x:row r="23">
      <x:c r="A23" s="47" t="str">
        <x:v>Новый набор — изображение 2</x:v>
      </x:c>
      <x:c r="B23" s="48" t="n">
        <x:v>46875</x:v>
      </x:c>
      <x:c r="C23" s="69" t="n">
        <x:f>B23-'Настройки'!$B$4</x:f>
        <x:v>672</x:v>
      </x:c>
      <x:c r="D23" s="70" t="n">
        <x:f>C23/'Настройки'!$B$5</x:f>
        <x:v>1.841095890410959</x:v>
      </x:c>
      <x:c r="E23" s="70" t="n">
        <x:f>IF(D23&lt;=MIN('Исходные кривые'!$B$4:$L$4),INDEX('Исходные кривые'!$B$5:$L$5,1,1),IF(D23&gt;=MAX('Исходные кривые'!$B$4:$L$4),INDEX('Исходные кривые'!$B$5:$L$5,1,COLUMNS('Исходные кривые'!$B$5:$L$5)),INDEX('Исходные кривые'!$B$5:$L$5,1,MATCH(D23,'Исходные кривые'!$B$4:$L$4,1))+(D23-INDEX('Исходные кривые'!$B$4:$L$4,1,MATCH(D23,'Исходные кривые'!$B$4:$L$4,1)))*(INDEX('Исходные кривые'!$B$5:$L$5,1,MATCH(D23,'Исходные кривые'!$B$4:$L$4,1)+1)-INDEX('Исходные кривые'!$B$5:$L$5,1,MATCH(D23,'Исходные кривые'!$B$4:$L$4,1)))/(INDEX('Исходные кривые'!$B$4:$L$4,1,MATCH(D23,'Исходные кривые'!$B$4:$L$4,1)+1)-INDEX('Исходные кривые'!$B$4:$L$4,1,MATCH(D23,'Исходные кривые'!$B$4:$L$4,1)))))</x:f>
        <x:v>13.79690410958904</x:v>
      </x:c>
      <x:c r="F23" s="70" t="n">
        <x:f>IF(D23&lt;=MIN('Исходные кривые'!$B$8:$N$8),INDEX('Исходные кривые'!$B$9:$N$9,1,1),IF(D23&gt;=MAX('Исходные кривые'!$B$8:$N$8),INDEX('Исходные кривые'!$B$9:$N$9,1,COLUMNS('Исходные кривые'!$B$9:$N$9)),INDEX('Исходные кривые'!$B$9:$N$9,1,MATCH(D23,'Исходные кривые'!$B$8:$N$8,1))+(D23-INDEX('Исходные кривые'!$B$8:$N$8,1,MATCH(D23,'Исходные кривые'!$B$8:$N$8,1)))*(INDEX('Исходные кривые'!$B$9:$N$9,1,MATCH(D23,'Исходные кривые'!$B$8:$N$8,1)+1)-INDEX('Исходные кривые'!$B$9:$N$9,1,MATCH(D23,'Исходные кривые'!$B$8:$N$8,1)))/(INDEX('Исходные кривые'!$B$8:$N$8,1,MATCH(D23,'Исходные кривые'!$B$8:$N$8,1)+1)-INDEX('Исходные кривые'!$B$8:$N$8,1,MATCH(D23,'Исходные кривые'!$B$8:$N$8,1)))))</x:f>
        <x:v>15.79690410958904</x:v>
      </x:c>
      <x:c r="G23" s="70" t="n">
        <x:f>IF(D23&lt;=MIN('Исходные кривые'!$B$12:$K$12),INDEX('Исходные кривые'!$B$13:$K$13,1,1),IF(D23&gt;=MAX('Исходные кривые'!$B$12:$K$12),INDEX('Исходные кривые'!$B$13:$K$13,1,COLUMNS('Исходные кривые'!$B$13:$K$13)),INDEX('Исходные кривые'!$B$13:$K$13,1,MATCH(D23,'Исходные кривые'!$B$12:$K$12,1))+(D23-INDEX('Исходные кривые'!$B$12:$K$12,1,MATCH(D23,'Исходные кривые'!$B$12:$K$12,1)))*(INDEX('Исходные кривые'!$B$13:$K$13,1,MATCH(D23,'Исходные кривые'!$B$12:$K$12,1)+1)-INDEX('Исходные кривые'!$B$13:$K$13,1,MATCH(D23,'Исходные кривые'!$B$12:$K$12,1)))/(INDEX('Исходные кривые'!$B$12:$K$12,1,MATCH(D23,'Исходные кривые'!$B$12:$K$12,1)+1)-INDEX('Исходные кривые'!$B$12:$K$12,1,MATCH(D23,'Исходные кривые'!$B$12:$K$12,1)))))</x:f>
        <x:v>55.47671232876712</x:v>
      </x:c>
      <x:c r="H23" s="70" t="n">
        <x:f>IF(D23&lt;=MIN('Исходные кривые'!$B$12:$K$12),INDEX('Исходные кривые'!$B$14:$K$14,1,1),IF(D23&gt;=MAX('Исходные кривые'!$B$12:$K$12),INDEX('Исходные кривые'!$B$14:$K$14,1,COLUMNS('Исходные кривые'!$B$14:$K$14)),INDEX('Исходные кривые'!$B$14:$K$14,1,MATCH(D23,'Исходные кривые'!$B$12:$K$12,1))+(D23-INDEX('Исходные кривые'!$B$12:$K$12,1,MATCH(D23,'Исходные кривые'!$B$12:$K$12,1)))*(INDEX('Исходные кривые'!$B$14:$K$14,1,MATCH(D23,'Исходные кривые'!$B$12:$K$12,1)+1)-INDEX('Исходные кривые'!$B$14:$K$14,1,MATCH(D23,'Исходные кривые'!$B$12:$K$12,1)))/(INDEX('Исходные кривые'!$B$12:$K$12,1,MATCH(D23,'Исходные кривые'!$B$12:$K$12,1)+1)-INDEX('Исходные кривые'!$B$12:$K$12,1,MATCH(D23,'Исходные кривые'!$B$12:$K$12,1)))))</x:f>
        <x:v>-29.317808219178083</x:v>
      </x:c>
      <x:c r="I23" s="70" t="n">
        <x:f>IF(D23&lt;=MIN('Исходные кривые'!$B$17:$L$17),INDEX('Исходные кривые'!$B$18:$L$18,1,1),IF(D23&gt;=MAX('Исходные кривые'!$B$17:$L$17),INDEX('Исходные кривые'!$B$18:$L$18,1,COLUMNS('Исходные кривые'!$B$18:$L$18)),INDEX('Исходные кривые'!$B$18:$L$18,1,MATCH(D23,'Исходные кривые'!$B$17:$L$17,1))+(D23-INDEX('Исходные кривые'!$B$17:$L$17,1,MATCH(D23,'Исходные кривые'!$B$17:$L$17,1)))*(INDEX('Исходные кривые'!$B$18:$L$18,1,MATCH(D23,'Исходные кривые'!$B$17:$L$17,1)+1)-INDEX('Исходные кривые'!$B$18:$L$18,1,MATCH(D23,'Исходные кривые'!$B$17:$L$17,1)))/(INDEX('Исходные кривые'!$B$17:$L$17,1,MATCH(D23,'Исходные кривые'!$B$17:$L$17,1)+1)-INDEX('Исходные кривые'!$B$17:$L$17,1,MATCH(D23,'Исходные кривые'!$B$17:$L$17,1)))))</x:f>
        <x:v>7.051369863013699</x:v>
      </x:c>
      <x:c r="J23" s="70" t="n">
        <x:f>IF(D23&lt;=MIN('Исходные кривые'!$B$17:$L$17),INDEX('Исходные кривые'!$B$19:$L$19,1,1),IF(D23&gt;=MAX('Исходные кривые'!$B$17:$L$17),INDEX('Исходные кривые'!$B$19:$L$19,1,COLUMNS('Исходные кривые'!$B$19:$L$19)),INDEX('Исходные кривые'!$B$19:$L$19,1,MATCH(D23,'Исходные кривые'!$B$17:$L$17,1))+(D23-INDEX('Исходные кривые'!$B$17:$L$17,1,MATCH(D23,'Исходные кривые'!$B$17:$L$17,1)))*(INDEX('Исходные кривые'!$B$19:$L$19,1,MATCH(D23,'Исходные кривые'!$B$17:$L$17,1)+1)-INDEX('Исходные кривые'!$B$19:$L$19,1,MATCH(D23,'Исходные кривые'!$B$17:$L$17,1)))/(INDEX('Исходные кривые'!$B$17:$L$17,1,MATCH(D23,'Исходные кривые'!$B$17:$L$17,1)+1)-INDEX('Исходные кривые'!$B$17:$L$17,1,MATCH(D23,'Исходные кривые'!$B$17:$L$17,1)))))</x:f>
        <x:v>-4.747671232876712</x:v>
      </x:c>
    </x:row>
    <x:row r="24">
      <x:c r="A24" s="47" t="str">
        <x:v>Новый набор — изображение 2</x:v>
      </x:c>
      <x:c r="B24" s="48" t="n">
        <x:v>46966</x:v>
      </x:c>
      <x:c r="C24" s="69" t="n">
        <x:f>B24-'Настройки'!$B$4</x:f>
        <x:v>763</x:v>
      </x:c>
      <x:c r="D24" s="70" t="n">
        <x:f>C24/'Настройки'!$B$5</x:f>
        <x:v>2.0904109589041098</x:v>
      </x:c>
      <x:c r="E24" s="70" t="n">
        <x:f>IF(D24&lt;=MIN('Исходные кривые'!$B$4:$L$4),INDEX('Исходные кривые'!$B$5:$L$5,1,1),IF(D24&gt;=MAX('Исходные кривые'!$B$4:$L$4),INDEX('Исходные кривые'!$B$5:$L$5,1,COLUMNS('Исходные кривые'!$B$5:$L$5)),INDEX('Исходные кривые'!$B$5:$L$5,1,MATCH(D24,'Исходные кривые'!$B$4:$L$4,1))+(D24-INDEX('Исходные кривые'!$B$4:$L$4,1,MATCH(D24,'Исходные кривые'!$B$4:$L$4,1)))*(INDEX('Исходные кривые'!$B$5:$L$5,1,MATCH(D24,'Исходные кривые'!$B$4:$L$4,1)+1)-INDEX('Исходные кривые'!$B$5:$L$5,1,MATCH(D24,'Исходные кривые'!$B$4:$L$4,1)))/(INDEX('Исходные кривые'!$B$4:$L$4,1,MATCH(D24,'Исходные кривые'!$B$4:$L$4,1)+1)-INDEX('Исходные кривые'!$B$4:$L$4,1,MATCH(D24,'Исходные кривые'!$B$4:$L$4,1)))))</x:f>
        <x:v>13.924246575342465</x:v>
      </x:c>
      <x:c r="F24" s="70" t="n">
        <x:f>IF(D24&lt;=MIN('Исходные кривые'!$B$8:$N$8),INDEX('Исходные кривые'!$B$9:$N$9,1,1),IF(D24&gt;=MAX('Исходные кривые'!$B$8:$N$8),INDEX('Исходные кривые'!$B$9:$N$9,1,COLUMNS('Исходные кривые'!$B$9:$N$9)),INDEX('Исходные кривые'!$B$9:$N$9,1,MATCH(D24,'Исходные кривые'!$B$8:$N$8,1))+(D24-INDEX('Исходные кривые'!$B$8:$N$8,1,MATCH(D24,'Исходные кривые'!$B$8:$N$8,1)))*(INDEX('Исходные кривые'!$B$9:$N$9,1,MATCH(D24,'Исходные кривые'!$B$8:$N$8,1)+1)-INDEX('Исходные кривые'!$B$9:$N$9,1,MATCH(D24,'Исходные кривые'!$B$8:$N$8,1)))/(INDEX('Исходные кривые'!$B$8:$N$8,1,MATCH(D24,'Исходные кривые'!$B$8:$N$8,1)+1)-INDEX('Исходные кривые'!$B$8:$N$8,1,MATCH(D24,'Исходные кривые'!$B$8:$N$8,1)))))</x:f>
        <x:v>15.924246575342465</x:v>
      </x:c>
      <x:c r="G24" s="70" t="n">
        <x:f>IF(D24&lt;=MIN('Исходные кривые'!$B$12:$K$12),INDEX('Исходные кривые'!$B$13:$K$13,1,1),IF(D24&gt;=MAX('Исходные кривые'!$B$12:$K$12),INDEX('Исходные кривые'!$B$13:$K$13,1,COLUMNS('Исходные кривые'!$B$13:$K$13)),INDEX('Исходные кривые'!$B$13:$K$13,1,MATCH(D24,'Исходные кривые'!$B$12:$K$12,1))+(D24-INDEX('Исходные кривые'!$B$12:$K$12,1,MATCH(D24,'Исходные кривые'!$B$12:$K$12,1)))*(INDEX('Исходные кривые'!$B$13:$K$13,1,MATCH(D24,'Исходные кривые'!$B$12:$K$12,1)+1)-INDEX('Исходные кривые'!$B$13:$K$13,1,MATCH(D24,'Исходные кривые'!$B$12:$K$12,1)))/(INDEX('Исходные кривые'!$B$12:$K$12,1,MATCH(D24,'Исходные кривые'!$B$12:$K$12,1)+1)-INDEX('Исходные кривые'!$B$12:$K$12,1,MATCH(D24,'Исходные кривые'!$B$12:$K$12,1)))))</x:f>
        <x:v>54.90958904109589</x:v>
      </x:c>
      <x:c r="H24" s="70" t="n">
        <x:f>IF(D24&lt;=MIN('Исходные кривые'!$B$12:$K$12),INDEX('Исходные кривые'!$B$14:$K$14,1,1),IF(D24&gt;=MAX('Исходные кривые'!$B$12:$K$12),INDEX('Исходные кривые'!$B$14:$K$14,1,COLUMNS('Исходные кривые'!$B$14:$K$14)),INDEX('Исходные кривые'!$B$14:$K$14,1,MATCH(D24,'Исходные кривые'!$B$12:$K$12,1))+(D24-INDEX('Исходные кривые'!$B$12:$K$12,1,MATCH(D24,'Исходные кривые'!$B$12:$K$12,1)))*(INDEX('Исходные кривые'!$B$14:$K$14,1,MATCH(D24,'Исходные кривые'!$B$12:$K$12,1)+1)-INDEX('Исходные кривые'!$B$14:$K$14,1,MATCH(D24,'Исходные кривые'!$B$12:$K$12,1)))/(INDEX('Исходные кривые'!$B$12:$K$12,1,MATCH(D24,'Исходные кривые'!$B$12:$K$12,1)+1)-INDEX('Исходные кривые'!$B$12:$K$12,1,MATCH(D24,'Исходные кривые'!$B$12:$K$12,1)))))</x:f>
        <x:v>-28.90958904109589</x:v>
      </x:c>
      <x:c r="I24" s="70" t="n">
        <x:f>IF(D24&lt;=MIN('Исходные кривые'!$B$17:$L$17),INDEX('Исходные кривые'!$B$18:$L$18,1,1),IF(D24&gt;=MAX('Исходные кривые'!$B$17:$L$17),INDEX('Исходные кривые'!$B$18:$L$18,1,COLUMNS('Исходные кривые'!$B$18:$L$18)),INDEX('Исходные кривые'!$B$18:$L$18,1,MATCH(D24,'Исходные кривые'!$B$17:$L$17,1))+(D24-INDEX('Исходные кривые'!$B$17:$L$17,1,MATCH(D24,'Исходные кривые'!$B$17:$L$17,1)))*(INDEX('Исходные кривые'!$B$18:$L$18,1,MATCH(D24,'Исходные кривые'!$B$17:$L$17,1)+1)-INDEX('Исходные кривые'!$B$18:$L$18,1,MATCH(D24,'Исходные кривые'!$B$17:$L$17,1)))/(INDEX('Исходные кривые'!$B$17:$L$17,1,MATCH(D24,'Исходные кривые'!$B$17:$L$17,1)+1)-INDEX('Исходные кривые'!$B$17:$L$17,1,MATCH(D24,'Исходные кривые'!$B$17:$L$17,1)))))</x:f>
        <x:v>7.173150684931507</x:v>
      </x:c>
      <x:c r="J24" s="70" t="n">
        <x:f>IF(D24&lt;=MIN('Исходные кривые'!$B$17:$L$17),INDEX('Исходные кривые'!$B$19:$L$19,1,1),IF(D24&gt;=MAX('Исходные кривые'!$B$17:$L$17),INDEX('Исходные кривые'!$B$19:$L$19,1,COLUMNS('Исходные кривые'!$B$19:$L$19)),INDEX('Исходные кривые'!$B$19:$L$19,1,MATCH(D24,'Исходные кривые'!$B$17:$L$17,1))+(D24-INDEX('Исходные кривые'!$B$17:$L$17,1,MATCH(D24,'Исходные кривые'!$B$17:$L$17,1)))*(INDEX('Исходные кривые'!$B$19:$L$19,1,MATCH(D24,'Исходные кривые'!$B$17:$L$17,1)+1)-INDEX('Исходные кривые'!$B$19:$L$19,1,MATCH(D24,'Исходные кривые'!$B$17:$L$17,1)))/(INDEX('Исходные кривые'!$B$17:$L$17,1,MATCH(D24,'Исходные кривые'!$B$17:$L$17,1)+1)-INDEX('Исходные кривые'!$B$17:$L$17,1,MATCH(D24,'Исходные кривые'!$B$17:$L$17,1)))))</x:f>
        <x:v>-4.605068493150685</x:v>
      </x:c>
    </x:row>
    <x:row r="25">
      <x:c r="A25" s="47" t="str">
        <x:v>Новый набор — изображение 2</x:v>
      </x:c>
      <x:c r="B25" s="48" t="n">
        <x:v>47057</x:v>
      </x:c>
      <x:c r="C25" s="69" t="n">
        <x:f>B25-'Настройки'!$B$4</x:f>
        <x:v>854</x:v>
      </x:c>
      <x:c r="D25" s="70" t="n">
        <x:f>C25/'Настройки'!$B$5</x:f>
        <x:v>2.33972602739726</x:v>
      </x:c>
      <x:c r="E25" s="70" t="n">
        <x:f>IF(D25&lt;=MIN('Исходные кривые'!$B$4:$L$4),INDEX('Исходные кривые'!$B$5:$L$5,1,1),IF(D25&gt;=MAX('Исходные кривые'!$B$4:$L$4),INDEX('Исходные кривые'!$B$5:$L$5,1,COLUMNS('Исходные кривые'!$B$5:$L$5)),INDEX('Исходные кривые'!$B$5:$L$5,1,MATCH(D25,'Исходные кривые'!$B$4:$L$4,1))+(D25-INDEX('Исходные кривые'!$B$4:$L$4,1,MATCH(D25,'Исходные кривые'!$B$4:$L$4,1)))*(INDEX('Исходные кривые'!$B$5:$L$5,1,MATCH(D25,'Исходные кривые'!$B$4:$L$4,1)+1)-INDEX('Исходные кривые'!$B$5:$L$5,1,MATCH(D25,'Исходные кривые'!$B$4:$L$4,1)))/(INDEX('Исходные кривые'!$B$4:$L$4,1,MATCH(D25,'Исходные кривые'!$B$4:$L$4,1)+1)-INDEX('Исходные кривые'!$B$4:$L$4,1,MATCH(D25,'Исходные кривые'!$B$4:$L$4,1)))))</x:f>
        <x:v>14.073835616438355</x:v>
      </x:c>
      <x:c r="F25" s="70" t="n">
        <x:f>IF(D25&lt;=MIN('Исходные кривые'!$B$8:$N$8),INDEX('Исходные кривые'!$B$9:$N$9,1,1),IF(D25&gt;=MAX('Исходные кривые'!$B$8:$N$8),INDEX('Исходные кривые'!$B$9:$N$9,1,COLUMNS('Исходные кривые'!$B$9:$N$9)),INDEX('Исходные кривые'!$B$9:$N$9,1,MATCH(D25,'Исходные кривые'!$B$8:$N$8,1))+(D25-INDEX('Исходные кривые'!$B$8:$N$8,1,MATCH(D25,'Исходные кривые'!$B$8:$N$8,1)))*(INDEX('Исходные кривые'!$B$9:$N$9,1,MATCH(D25,'Исходные кривые'!$B$8:$N$8,1)+1)-INDEX('Исходные кривые'!$B$9:$N$9,1,MATCH(D25,'Исходные кривые'!$B$8:$N$8,1)))/(INDEX('Исходные кривые'!$B$8:$N$8,1,MATCH(D25,'Исходные кривые'!$B$8:$N$8,1)+1)-INDEX('Исходные кривые'!$B$8:$N$8,1,MATCH(D25,'Исходные кривые'!$B$8:$N$8,1)))))</x:f>
        <x:v>16.073835616438355</x:v>
      </x:c>
      <x:c r="G25" s="70" t="n">
        <x:f>IF(D25&lt;=MIN('Исходные кривые'!$B$12:$K$12),INDEX('Исходные кривые'!$B$13:$K$13,1,1),IF(D25&gt;=MAX('Исходные кривые'!$B$12:$K$12),INDEX('Исходные кривые'!$B$13:$K$13,1,COLUMNS('Исходные кривые'!$B$13:$K$13)),INDEX('Исходные кривые'!$B$13:$K$13,1,MATCH(D25,'Исходные кривые'!$B$12:$K$12,1))+(D25-INDEX('Исходные кривые'!$B$12:$K$12,1,MATCH(D25,'Исходные кривые'!$B$12:$K$12,1)))*(INDEX('Исходные кривые'!$B$13:$K$13,1,MATCH(D25,'Исходные кривые'!$B$12:$K$12,1)+1)-INDEX('Исходные кривые'!$B$13:$K$13,1,MATCH(D25,'Исходные кривые'!$B$12:$K$12,1)))/(INDEX('Исходные кривые'!$B$12:$K$12,1,MATCH(D25,'Исходные кривые'!$B$12:$K$12,1)+1)-INDEX('Исходные кривые'!$B$12:$K$12,1,MATCH(D25,'Исходные кривые'!$B$12:$K$12,1)))))</x:f>
        <x:v>54.66027397260274</x:v>
      </x:c>
      <x:c r="H25" s="70" t="n">
        <x:f>IF(D25&lt;=MIN('Исходные кривые'!$B$12:$K$12),INDEX('Исходные кривые'!$B$14:$K$14,1,1),IF(D25&gt;=MAX('Исходные кривые'!$B$12:$K$12),INDEX('Исходные кривые'!$B$14:$K$14,1,COLUMNS('Исходные кривые'!$B$14:$K$14)),INDEX('Исходные кривые'!$B$14:$K$14,1,MATCH(D25,'Исходные кривые'!$B$12:$K$12,1))+(D25-INDEX('Исходные кривые'!$B$12:$K$12,1,MATCH(D25,'Исходные кривые'!$B$12:$K$12,1)))*(INDEX('Исходные кривые'!$B$14:$K$14,1,MATCH(D25,'Исходные кривые'!$B$12:$K$12,1)+1)-INDEX('Исходные кривые'!$B$14:$K$14,1,MATCH(D25,'Исходные кривые'!$B$12:$K$12,1)))/(INDEX('Исходные кривые'!$B$12:$K$12,1,MATCH(D25,'Исходные кривые'!$B$12:$K$12,1)+1)-INDEX('Исходные кривые'!$B$12:$K$12,1,MATCH(D25,'Исходные кривые'!$B$12:$K$12,1)))))</x:f>
        <x:v>-28.660273972602738</x:v>
      </x:c>
      <x:c r="I25" s="70" t="n">
        <x:f>IF(D25&lt;=MIN('Исходные кривые'!$B$17:$L$17),INDEX('Исходные кривые'!$B$18:$L$18,1,1),IF(D25&gt;=MAX('Исходные кривые'!$B$17:$L$17),INDEX('Исходные кривые'!$B$18:$L$18,1,COLUMNS('Исходные кривые'!$B$18:$L$18)),INDEX('Исходные кривые'!$B$18:$L$18,1,MATCH(D25,'Исходные кривые'!$B$17:$L$17,1))+(D25-INDEX('Исходные кривые'!$B$17:$L$17,1,MATCH(D25,'Исходные кривые'!$B$17:$L$17,1)))*(INDEX('Исходные кривые'!$B$18:$L$18,1,MATCH(D25,'Исходные кривые'!$B$17:$L$17,1)+1)-INDEX('Исходные кривые'!$B$18:$L$18,1,MATCH(D25,'Исходные кривые'!$B$17:$L$17,1)))/(INDEX('Исходные кривые'!$B$17:$L$17,1,MATCH(D25,'Исходные кривые'!$B$17:$L$17,1)+1)-INDEX('Исходные кривые'!$B$17:$L$17,1,MATCH(D25,'Исходные кривые'!$B$17:$L$17,1)))))</x:f>
        <x:v>6.961232876712329</x:v>
      </x:c>
      <x:c r="J25" s="70" t="n">
        <x:f>IF(D25&lt;=MIN('Исходные кривые'!$B$17:$L$17),INDEX('Исходные кривые'!$B$19:$L$19,1,1),IF(D25&gt;=MAX('Исходные кривые'!$B$17:$L$17),INDEX('Исходные кривые'!$B$19:$L$19,1,COLUMNS('Исходные кривые'!$B$19:$L$19)),INDEX('Исходные кривые'!$B$19:$L$19,1,MATCH(D25,'Исходные кривые'!$B$17:$L$17,1))+(D25-INDEX('Исходные кривые'!$B$17:$L$17,1,MATCH(D25,'Исходные кривые'!$B$17:$L$17,1)))*(INDEX('Исходные кривые'!$B$19:$L$19,1,MATCH(D25,'Исходные кривые'!$B$17:$L$17,1)+1)-INDEX('Исходные кривые'!$B$19:$L$19,1,MATCH(D25,'Исходные кривые'!$B$17:$L$17,1)))/(INDEX('Исходные кривые'!$B$17:$L$17,1,MATCH(D25,'Исходные кривые'!$B$17:$L$17,1)+1)-INDEX('Исходные кривые'!$B$17:$L$17,1,MATCH(D25,'Исходные кривые'!$B$17:$L$17,1)))))</x:f>
        <x:v>-4.3432876712328765</x:v>
      </x:c>
    </x:row>
    <x:row r="26">
      <x:c r="A26" s="47" t="str">
        <x:v>Новый набор — изображение 2</x:v>
      </x:c>
      <x:c r="B26" s="48" t="n">
        <x:v>47149</x:v>
      </x:c>
      <x:c r="C26" s="69" t="n">
        <x:f>B26-'Настройки'!$B$4</x:f>
        <x:v>946</x:v>
      </x:c>
      <x:c r="D26" s="70" t="n">
        <x:f>C26/'Настройки'!$B$5</x:f>
        <x:v>2.591780821917808</x:v>
      </x:c>
      <x:c r="E26" s="70" t="n">
        <x:f>IF(D26&lt;=MIN('Исходные кривые'!$B$4:$L$4),INDEX('Исходные кривые'!$B$5:$L$5,1,1),IF(D26&gt;=MAX('Исходные кривые'!$B$4:$L$4),INDEX('Исходные кривые'!$B$5:$L$5,1,COLUMNS('Исходные кривые'!$B$5:$L$5)),INDEX('Исходные кривые'!$B$5:$L$5,1,MATCH(D26,'Исходные кривые'!$B$4:$L$4,1))+(D26-INDEX('Исходные кривые'!$B$4:$L$4,1,MATCH(D26,'Исходные кривые'!$B$4:$L$4,1)))*(INDEX('Исходные кривые'!$B$5:$L$5,1,MATCH(D26,'Исходные кривые'!$B$4:$L$4,1)+1)-INDEX('Исходные кривые'!$B$5:$L$5,1,MATCH(D26,'Исходные кривые'!$B$4:$L$4,1)))/(INDEX('Исходные кривые'!$B$4:$L$4,1,MATCH(D26,'Исходные кривые'!$B$4:$L$4,1)+1)-INDEX('Исходные кривые'!$B$4:$L$4,1,MATCH(D26,'Исходные кривые'!$B$4:$L$4,1)))))</x:f>
        <x:v>14.225068493150685</x:v>
      </x:c>
      <x:c r="F26" s="70" t="n">
        <x:f>IF(D26&lt;=MIN('Исходные кривые'!$B$8:$N$8),INDEX('Исходные кривые'!$B$9:$N$9,1,1),IF(D26&gt;=MAX('Исходные кривые'!$B$8:$N$8),INDEX('Исходные кривые'!$B$9:$N$9,1,COLUMNS('Исходные кривые'!$B$9:$N$9)),INDEX('Исходные кривые'!$B$9:$N$9,1,MATCH(D26,'Исходные кривые'!$B$8:$N$8,1))+(D26-INDEX('Исходные кривые'!$B$8:$N$8,1,MATCH(D26,'Исходные кривые'!$B$8:$N$8,1)))*(INDEX('Исходные кривые'!$B$9:$N$9,1,MATCH(D26,'Исходные кривые'!$B$8:$N$8,1)+1)-INDEX('Исходные кривые'!$B$9:$N$9,1,MATCH(D26,'Исходные кривые'!$B$8:$N$8,1)))/(INDEX('Исходные кривые'!$B$8:$N$8,1,MATCH(D26,'Исходные кривые'!$B$8:$N$8,1)+1)-INDEX('Исходные кривые'!$B$8:$N$8,1,MATCH(D26,'Исходные кривые'!$B$8:$N$8,1)))))</x:f>
        <x:v>16.225068493150683</x:v>
      </x:c>
      <x:c r="G26" s="70" t="n">
        <x:f>IF(D26&lt;=MIN('Исходные кривые'!$B$12:$K$12),INDEX('Исходные кривые'!$B$13:$K$13,1,1),IF(D26&gt;=MAX('Исходные кривые'!$B$12:$K$12),INDEX('Исходные кривые'!$B$13:$K$13,1,COLUMNS('Исходные кривые'!$B$13:$K$13)),INDEX('Исходные кривые'!$B$13:$K$13,1,MATCH(D26,'Исходные кривые'!$B$12:$K$12,1))+(D26-INDEX('Исходные кривые'!$B$12:$K$12,1,MATCH(D26,'Исходные кривые'!$B$12:$K$12,1)))*(INDEX('Исходные кривые'!$B$13:$K$13,1,MATCH(D26,'Исходные кривые'!$B$12:$K$12,1)+1)-INDEX('Исходные кривые'!$B$13:$K$13,1,MATCH(D26,'Исходные кривые'!$B$12:$K$12,1)))/(INDEX('Исходные кривые'!$B$12:$K$12,1,MATCH(D26,'Исходные кривые'!$B$12:$K$12,1)+1)-INDEX('Исходные кривые'!$B$12:$K$12,1,MATCH(D26,'Исходные кривые'!$B$12:$K$12,1)))))</x:f>
        <x:v>54.40821917808219</x:v>
      </x:c>
      <x:c r="H26" s="70" t="n">
        <x:f>IF(D26&lt;=MIN('Исходные кривые'!$B$12:$K$12),INDEX('Исходные кривые'!$B$14:$K$14,1,1),IF(D26&gt;=MAX('Исходные кривые'!$B$12:$K$12),INDEX('Исходные кривые'!$B$14:$K$14,1,COLUMNS('Исходные кривые'!$B$14:$K$14)),INDEX('Исходные кривые'!$B$14:$K$14,1,MATCH(D26,'Исходные кривые'!$B$12:$K$12,1))+(D26-INDEX('Исходные кривые'!$B$12:$K$12,1,MATCH(D26,'Исходные кривые'!$B$12:$K$12,1)))*(INDEX('Исходные кривые'!$B$14:$K$14,1,MATCH(D26,'Исходные кривые'!$B$12:$K$12,1)+1)-INDEX('Исходные кривые'!$B$14:$K$14,1,MATCH(D26,'Исходные кривые'!$B$12:$K$12,1)))/(INDEX('Исходные кривые'!$B$12:$K$12,1,MATCH(D26,'Исходные кривые'!$B$12:$K$12,1)+1)-INDEX('Исходные кривые'!$B$12:$K$12,1,MATCH(D26,'Исходные кривые'!$B$12:$K$12,1)))))</x:f>
        <x:v>-28.40821917808219</x:v>
      </x:c>
      <x:c r="I26" s="70" t="n">
        <x:f>IF(D26&lt;=MIN('Исходные кривые'!$B$17:$L$17),INDEX('Исходные кривые'!$B$18:$L$18,1,1),IF(D26&gt;=MAX('Исходные кривые'!$B$17:$L$17),INDEX('Исходные кривые'!$B$18:$L$18,1,COLUMNS('Исходные кривые'!$B$18:$L$18)),INDEX('Исходные кривые'!$B$18:$L$18,1,MATCH(D26,'Исходные кривые'!$B$17:$L$17,1))+(D26-INDEX('Исходные кривые'!$B$17:$L$17,1,MATCH(D26,'Исходные кривые'!$B$17:$L$17,1)))*(INDEX('Исходные кривые'!$B$18:$L$18,1,MATCH(D26,'Исходные кривые'!$B$17:$L$17,1)+1)-INDEX('Исходные кривые'!$B$18:$L$18,1,MATCH(D26,'Исходные кривые'!$B$17:$L$17,1)))/(INDEX('Исходные кривые'!$B$17:$L$17,1,MATCH(D26,'Исходные кривые'!$B$17:$L$17,1)+1)-INDEX('Исходные кривые'!$B$17:$L$17,1,MATCH(D26,'Исходные кривые'!$B$17:$L$17,1)))))</x:f>
        <x:v>6.746986301369864</x:v>
      </x:c>
      <x:c r="J26" s="70" t="n">
        <x:f>IF(D26&lt;=MIN('Исходные кривые'!$B$17:$L$17),INDEX('Исходные кривые'!$B$19:$L$19,1,1),IF(D26&gt;=MAX('Исходные кривые'!$B$17:$L$17),INDEX('Исходные кривые'!$B$19:$L$19,1,COLUMNS('Исходные кривые'!$B$19:$L$19)),INDEX('Исходные кривые'!$B$19:$L$19,1,MATCH(D26,'Исходные кривые'!$B$17:$L$17,1))+(D26-INDEX('Исходные кривые'!$B$17:$L$17,1,MATCH(D26,'Исходные кривые'!$B$17:$L$17,1)))*(INDEX('Исходные кривые'!$B$19:$L$19,1,MATCH(D26,'Исходные кривые'!$B$17:$L$17,1)+1)-INDEX('Исходные кривые'!$B$19:$L$19,1,MATCH(D26,'Исходные кривые'!$B$17:$L$17,1)))/(INDEX('Исходные кривые'!$B$17:$L$17,1,MATCH(D26,'Исходные кривые'!$B$17:$L$17,1)+1)-INDEX('Исходные кривые'!$B$17:$L$17,1,MATCH(D26,'Исходные кривые'!$B$17:$L$17,1)))))</x:f>
        <x:v>-4.078630136986302</x:v>
      </x:c>
    </x:row>
    <x:row r="27">
      <x:c r="A27" s="47" t="str">
        <x:v>Новый набор — изображение 2</x:v>
      </x:c>
      <x:c r="B27" s="48" t="n">
        <x:v>47240</x:v>
      </x:c>
      <x:c r="C27" s="69" t="n">
        <x:f>B27-'Настройки'!$B$4</x:f>
        <x:v>1037</x:v>
      </x:c>
      <x:c r="D27" s="70" t="n">
        <x:f>C27/'Настройки'!$B$5</x:f>
        <x:v>2.841095890410959</x:v>
      </x:c>
      <x:c r="E27" s="70" t="n">
        <x:f>IF(D27&lt;=MIN('Исходные кривые'!$B$4:$L$4),INDEX('Исходные кривые'!$B$5:$L$5,1,1),IF(D27&gt;=MAX('Исходные кривые'!$B$4:$L$4),INDEX('Исходные кривые'!$B$5:$L$5,1,COLUMNS('Исходные кривые'!$B$5:$L$5)),INDEX('Исходные кривые'!$B$5:$L$5,1,MATCH(D27,'Исходные кривые'!$B$4:$L$4,1))+(D27-INDEX('Исходные кривые'!$B$4:$L$4,1,MATCH(D27,'Исходные кривые'!$B$4:$L$4,1)))*(INDEX('Исходные кривые'!$B$5:$L$5,1,MATCH(D27,'Исходные кривые'!$B$4:$L$4,1)+1)-INDEX('Исходные кривые'!$B$5:$L$5,1,MATCH(D27,'Исходные кривые'!$B$4:$L$4,1)))/(INDEX('Исходные кривые'!$B$4:$L$4,1,MATCH(D27,'Исходные кривые'!$B$4:$L$4,1)+1)-INDEX('Исходные кривые'!$B$4:$L$4,1,MATCH(D27,'Исходные кривые'!$B$4:$L$4,1)))))</x:f>
        <x:v>14.374657534246575</x:v>
      </x:c>
      <x:c r="F27" s="70" t="n">
        <x:f>IF(D27&lt;=MIN('Исходные кривые'!$B$8:$N$8),INDEX('Исходные кривые'!$B$9:$N$9,1,1),IF(D27&gt;=MAX('Исходные кривые'!$B$8:$N$8),INDEX('Исходные кривые'!$B$9:$N$9,1,COLUMNS('Исходные кривые'!$B$9:$N$9)),INDEX('Исходные кривые'!$B$9:$N$9,1,MATCH(D27,'Исходные кривые'!$B$8:$N$8,1))+(D27-INDEX('Исходные кривые'!$B$8:$N$8,1,MATCH(D27,'Исходные кривые'!$B$8:$N$8,1)))*(INDEX('Исходные кривые'!$B$9:$N$9,1,MATCH(D27,'Исходные кривые'!$B$8:$N$8,1)+1)-INDEX('Исходные кривые'!$B$9:$N$9,1,MATCH(D27,'Исходные кривые'!$B$8:$N$8,1)))/(INDEX('Исходные кривые'!$B$8:$N$8,1,MATCH(D27,'Исходные кривые'!$B$8:$N$8,1)+1)-INDEX('Исходные кривые'!$B$8:$N$8,1,MATCH(D27,'Исходные кривые'!$B$8:$N$8,1)))))</x:f>
        <x:v>16.374657534246573</x:v>
      </x:c>
      <x:c r="G27" s="70" t="n">
        <x:f>IF(D27&lt;=MIN('Исходные кривые'!$B$12:$K$12),INDEX('Исходные кривые'!$B$13:$K$13,1,1),IF(D27&gt;=MAX('Исходные кривые'!$B$12:$K$12),INDEX('Исходные кривые'!$B$13:$K$13,1,COLUMNS('Исходные кривые'!$B$13:$K$13)),INDEX('Исходные кривые'!$B$13:$K$13,1,MATCH(D27,'Исходные кривые'!$B$12:$K$12,1))+(D27-INDEX('Исходные кривые'!$B$12:$K$12,1,MATCH(D27,'Исходные кривые'!$B$12:$K$12,1)))*(INDEX('Исходные кривые'!$B$13:$K$13,1,MATCH(D27,'Исходные кривые'!$B$12:$K$12,1)+1)-INDEX('Исходные кривые'!$B$13:$K$13,1,MATCH(D27,'Исходные кривые'!$B$12:$K$12,1)))/(INDEX('Исходные кривые'!$B$12:$K$12,1,MATCH(D27,'Исходные кривые'!$B$12:$K$12,1)+1)-INDEX('Исходные кривые'!$B$12:$K$12,1,MATCH(D27,'Исходные кривые'!$B$12:$K$12,1)))))</x:f>
        <x:v>54.15890410958904</x:v>
      </x:c>
      <x:c r="H27" s="70" t="n">
        <x:f>IF(D27&lt;=MIN('Исходные кривые'!$B$12:$K$12),INDEX('Исходные кривые'!$B$14:$K$14,1,1),IF(D27&gt;=MAX('Исходные кривые'!$B$12:$K$12),INDEX('Исходные кривые'!$B$14:$K$14,1,COLUMNS('Исходные кривые'!$B$14:$K$14)),INDEX('Исходные кривые'!$B$14:$K$14,1,MATCH(D27,'Исходные кривые'!$B$12:$K$12,1))+(D27-INDEX('Исходные кривые'!$B$12:$K$12,1,MATCH(D27,'Исходные кривые'!$B$12:$K$12,1)))*(INDEX('Исходные кривые'!$B$14:$K$14,1,MATCH(D27,'Исходные кривые'!$B$12:$K$12,1)+1)-INDEX('Исходные кривые'!$B$14:$K$14,1,MATCH(D27,'Исходные кривые'!$B$12:$K$12,1)))/(INDEX('Исходные кривые'!$B$12:$K$12,1,MATCH(D27,'Исходные кривые'!$B$12:$K$12,1)+1)-INDEX('Исходные кривые'!$B$12:$K$12,1,MATCH(D27,'Исходные кривые'!$B$12:$K$12,1)))))</x:f>
        <x:v>-28.15890410958904</x:v>
      </x:c>
      <x:c r="I27" s="70" t="n">
        <x:f>IF(D27&lt;=MIN('Исходные кривые'!$B$17:$L$17),INDEX('Исходные кривые'!$B$18:$L$18,1,1),IF(D27&gt;=MAX('Исходные кривые'!$B$17:$L$17),INDEX('Исходные кривые'!$B$18:$L$18,1,COLUMNS('Исходные кривые'!$B$18:$L$18)),INDEX('Исходные кривые'!$B$18:$L$18,1,MATCH(D27,'Исходные кривые'!$B$17:$L$17,1))+(D27-INDEX('Исходные кривые'!$B$17:$L$17,1,MATCH(D27,'Исходные кривые'!$B$17:$L$17,1)))*(INDEX('Исходные кривые'!$B$18:$L$18,1,MATCH(D27,'Исходные кривые'!$B$17:$L$17,1)+1)-INDEX('Исходные кривые'!$B$18:$L$18,1,MATCH(D27,'Исходные кривые'!$B$17:$L$17,1)))/(INDEX('Исходные кривые'!$B$17:$L$17,1,MATCH(D27,'Исходные кривые'!$B$17:$L$17,1)+1)-INDEX('Исходные кривые'!$B$17:$L$17,1,MATCH(D27,'Исходные кривые'!$B$17:$L$17,1)))))</x:f>
        <x:v>6.5350684931506855</x:v>
      </x:c>
      <x:c r="J27" s="70" t="n">
        <x:f>IF(D27&lt;=MIN('Исходные кривые'!$B$17:$L$17),INDEX('Исходные кривые'!$B$19:$L$19,1,1),IF(D27&gt;=MAX('Исходные кривые'!$B$17:$L$17),INDEX('Исходные кривые'!$B$19:$L$19,1,COLUMNS('Исходные кривые'!$B$19:$L$19)),INDEX('Исходные кривые'!$B$19:$L$19,1,MATCH(D27,'Исходные кривые'!$B$17:$L$17,1))+(D27-INDEX('Исходные кривые'!$B$17:$L$17,1,MATCH(D27,'Исходные кривые'!$B$17:$L$17,1)))*(INDEX('Исходные кривые'!$B$19:$L$19,1,MATCH(D27,'Исходные кривые'!$B$17:$L$17,1)+1)-INDEX('Исходные кривые'!$B$19:$L$19,1,MATCH(D27,'Исходные кривые'!$B$17:$L$17,1)))/(INDEX('Исходные кривые'!$B$17:$L$17,1,MATCH(D27,'Исходные кривые'!$B$17:$L$17,1)+1)-INDEX('Исходные кривые'!$B$17:$L$17,1,MATCH(D27,'Исходные кривые'!$B$17:$L$17,1)))))</x:f>
        <x:v>-3.816849315068493</x:v>
      </x:c>
    </x:row>
    <x:row r="28">
      <x:c r="A28" s="47" t="str">
        <x:v>Новый набор — изображение 2</x:v>
      </x:c>
      <x:c r="B28" s="48" t="n">
        <x:v>47330</x:v>
      </x:c>
      <x:c r="C28" s="69" t="n">
        <x:f>B28-'Настройки'!$B$4</x:f>
        <x:v>1127</x:v>
      </x:c>
      <x:c r="D28" s="70" t="n">
        <x:f>C28/'Настройки'!$B$5</x:f>
        <x:v>3.0876712328767124</x:v>
      </x:c>
      <x:c r="E28" s="70" t="n">
        <x:f>IF(D28&lt;=MIN('Исходные кривые'!$B$4:$L$4),INDEX('Исходные кривые'!$B$5:$L$5,1,1),IF(D28&gt;=MAX('Исходные кривые'!$B$4:$L$4),INDEX('Исходные кривые'!$B$5:$L$5,1,COLUMNS('Исходные кривые'!$B$5:$L$5)),INDEX('Исходные кривые'!$B$5:$L$5,1,MATCH(D28,'Исходные кривые'!$B$4:$L$4,1))+(D28-INDEX('Исходные кривые'!$B$4:$L$4,1,MATCH(D28,'Исходные кривые'!$B$4:$L$4,1)))*(INDEX('Исходные кривые'!$B$5:$L$5,1,MATCH(D28,'Исходные кривые'!$B$4:$L$4,1)+1)-INDEX('Исходные кривые'!$B$5:$L$5,1,MATCH(D28,'Исходные кривые'!$B$4:$L$4,1)))/(INDEX('Исходные кривые'!$B$4:$L$4,1,MATCH(D28,'Исходные кривые'!$B$4:$L$4,1)+1)-INDEX('Исходные кривые'!$B$4:$L$4,1,MATCH(D28,'Исходные кривые'!$B$4:$L$4,1)))))</x:f>
        <x:v>14.51164383561644</x:v>
      </x:c>
      <x:c r="F28" s="70" t="n">
        <x:f>IF(D28&lt;=MIN('Исходные кривые'!$B$8:$N$8),INDEX('Исходные кривые'!$B$9:$N$9,1,1),IF(D28&gt;=MAX('Исходные кривые'!$B$8:$N$8),INDEX('Исходные кривые'!$B$9:$N$9,1,COLUMNS('Исходные кривые'!$B$9:$N$9)),INDEX('Исходные кривые'!$B$9:$N$9,1,MATCH(D28,'Исходные кривые'!$B$8:$N$8,1))+(D28-INDEX('Исходные кривые'!$B$8:$N$8,1,MATCH(D28,'Исходные кривые'!$B$8:$N$8,1)))*(INDEX('Исходные кривые'!$B$9:$N$9,1,MATCH(D28,'Исходные кривые'!$B$8:$N$8,1)+1)-INDEX('Исходные кривые'!$B$9:$N$9,1,MATCH(D28,'Исходные кривые'!$B$8:$N$8,1)))/(INDEX('Исходные кривые'!$B$8:$N$8,1,MATCH(D28,'Исходные кривые'!$B$8:$N$8,1)+1)-INDEX('Исходные кривые'!$B$8:$N$8,1,MATCH(D28,'Исходные кривые'!$B$8:$N$8,1)))))</x:f>
        <x:v>16.511643835616436</x:v>
      </x:c>
      <x:c r="G28" s="70" t="n">
        <x:f>IF(D28&lt;=MIN('Исходные кривые'!$B$12:$K$12),INDEX('Исходные кривые'!$B$13:$K$13,1,1),IF(D28&gt;=MAX('Исходные кривые'!$B$12:$K$12),INDEX('Исходные кривые'!$B$13:$K$13,1,COLUMNS('Исходные кривые'!$B$13:$K$13)),INDEX('Исходные кривые'!$B$13:$K$13,1,MATCH(D28,'Исходные кривые'!$B$12:$K$12,1))+(D28-INDEX('Исходные кривые'!$B$12:$K$12,1,MATCH(D28,'Исходные кривые'!$B$12:$K$12,1)))*(INDEX('Исходные кривые'!$B$13:$K$13,1,MATCH(D28,'Исходные кривые'!$B$12:$K$12,1)+1)-INDEX('Исходные кривые'!$B$13:$K$13,1,MATCH(D28,'Исходные кривые'!$B$12:$K$12,1)))/(INDEX('Исходные кривые'!$B$12:$K$12,1,MATCH(D28,'Исходные кривые'!$B$12:$K$12,1)+1)-INDEX('Исходные кривые'!$B$12:$K$12,1,MATCH(D28,'Исходные кривые'!$B$12:$K$12,1)))))</x:f>
        <x:v>53.73698630136986</x:v>
      </x:c>
      <x:c r="H28" s="70" t="n">
        <x:f>IF(D28&lt;=MIN('Исходные кривые'!$B$12:$K$12),INDEX('Исходные кривые'!$B$14:$K$14,1,1),IF(D28&gt;=MAX('Исходные кривые'!$B$12:$K$12),INDEX('Исходные кривые'!$B$14:$K$14,1,COLUMNS('Исходные кривые'!$B$14:$K$14)),INDEX('Исходные кривые'!$B$14:$K$14,1,MATCH(D28,'Исходные кривые'!$B$12:$K$12,1))+(D28-INDEX('Исходные кривые'!$B$12:$K$12,1,MATCH(D28,'Исходные кривые'!$B$12:$K$12,1)))*(INDEX('Исходные кривые'!$B$14:$K$14,1,MATCH(D28,'Исходные кривые'!$B$12:$K$12,1)+1)-INDEX('Исходные кривые'!$B$14:$K$14,1,MATCH(D28,'Исходные кривые'!$B$12:$K$12,1)))/(INDEX('Исходные кривые'!$B$12:$K$12,1,MATCH(D28,'Исходные кривые'!$B$12:$K$12,1)+1)-INDEX('Исходные кривые'!$B$12:$K$12,1,MATCH(D28,'Исходные кривые'!$B$12:$K$12,1)))))</x:f>
        <x:v>-27.956164383561642</x:v>
      </x:c>
      <x:c r="I28" s="70" t="n">
        <x:f>IF(D28&lt;=MIN('Исходные кривые'!$B$17:$L$17),INDEX('Исходные кривые'!$B$18:$L$18,1,1),IF(D28&gt;=MAX('Исходные кривые'!$B$17:$L$17),INDEX('Исходные кривые'!$B$18:$L$18,1,COLUMNS('Исходные кривые'!$B$18:$L$18)),INDEX('Исходные кривые'!$B$18:$L$18,1,MATCH(D28,'Исходные кривые'!$B$17:$L$17,1))+(D28-INDEX('Исходные кривые'!$B$17:$L$17,1,MATCH(D28,'Исходные кривые'!$B$17:$L$17,1)))*(INDEX('Исходные кривые'!$B$18:$L$18,1,MATCH(D28,'Исходные кривые'!$B$17:$L$17,1)+1)-INDEX('Исходные кривые'!$B$18:$L$18,1,MATCH(D28,'Исходные кривые'!$B$17:$L$17,1)))/(INDEX('Исходные кривые'!$B$17:$L$17,1,MATCH(D28,'Исходные кривые'!$B$17:$L$17,1)+1)-INDEX('Исходные кривые'!$B$17:$L$17,1,MATCH(D28,'Исходные кривые'!$B$17:$L$17,1)))))</x:f>
        <x:v>6.378082191780822</x:v>
      </x:c>
      <x:c r="J28" s="70" t="n">
        <x:f>IF(D28&lt;=MIN('Исходные кривые'!$B$17:$L$17),INDEX('Исходные кривые'!$B$19:$L$19,1,1),IF(D28&gt;=MAX('Исходные кривые'!$B$17:$L$17),INDEX('Исходные кривые'!$B$19:$L$19,1,COLUMNS('Исходные кривые'!$B$19:$L$19)),INDEX('Исходные кривые'!$B$19:$L$19,1,MATCH(D28,'Исходные кривые'!$B$17:$L$17,1))+(D28-INDEX('Исходные кривые'!$B$17:$L$17,1,MATCH(D28,'Исходные кривые'!$B$17:$L$17,1)))*(INDEX('Исходные кривые'!$B$19:$L$19,1,MATCH(D28,'Исходные кривые'!$B$17:$L$17,1)+1)-INDEX('Исходные кривые'!$B$19:$L$19,1,MATCH(D28,'Исходные кривые'!$B$17:$L$17,1)))/(INDEX('Исходные кривые'!$B$17:$L$17,1,MATCH(D28,'Исходные кривые'!$B$17:$L$17,1)+1)-INDEX('Исходные кривые'!$B$17:$L$17,1,MATCH(D28,'Исходные кривые'!$B$17:$L$17,1)))))</x:f>
        <x:v>-3.57986301369863</x:v>
      </x:c>
    </x:row>
    <x:row r="29">
      <x:c r="A29" s="47" t="str">
        <x:v>Новый набор — изображение 2</x:v>
      </x:c>
      <x:c r="B29" s="48" t="n">
        <x:v>47422</x:v>
      </x:c>
      <x:c r="C29" s="69" t="n">
        <x:f>B29-'Настройки'!$B$4</x:f>
        <x:v>1219</x:v>
      </x:c>
      <x:c r="D29" s="70" t="n">
        <x:f>C29/'Настройки'!$B$5</x:f>
        <x:v>3.33972602739726</x:v>
      </x:c>
      <x:c r="E29" s="70" t="n">
        <x:f>IF(D29&lt;=MIN('Исходные кривые'!$B$4:$L$4),INDEX('Исходные кривые'!$B$5:$L$5,1,1),IF(D29&gt;=MAX('Исходные кривые'!$B$4:$L$4),INDEX('Исходные кривые'!$B$5:$L$5,1,COLUMNS('Исходные кривые'!$B$5:$L$5)),INDEX('Исходные кривые'!$B$5:$L$5,1,MATCH(D29,'Исходные кривые'!$B$4:$L$4,1))+(D29-INDEX('Исходные кривые'!$B$4:$L$4,1,MATCH(D29,'Исходные кривые'!$B$4:$L$4,1)))*(INDEX('Исходные кривые'!$B$5:$L$5,1,MATCH(D29,'Исходные кривые'!$B$4:$L$4,1)+1)-INDEX('Исходные кривые'!$B$5:$L$5,1,MATCH(D29,'Исходные кривые'!$B$4:$L$4,1)))/(INDEX('Исходные кривые'!$B$4:$L$4,1,MATCH(D29,'Исходные кривые'!$B$4:$L$4,1)+1)-INDEX('Исходные кривые'!$B$4:$L$4,1,MATCH(D29,'Исходные кривые'!$B$4:$L$4,1)))))</x:f>
        <x:v>14.631369863013699</x:v>
      </x:c>
      <x:c r="F29" s="70" t="n">
        <x:f>IF(D29&lt;=MIN('Исходные кривые'!$B$8:$N$8),INDEX('Исходные кривые'!$B$9:$N$9,1,1),IF(D29&gt;=MAX('Исходные кривые'!$B$8:$N$8),INDEX('Исходные кривые'!$B$9:$N$9,1,COLUMNS('Исходные кривые'!$B$9:$N$9)),INDEX('Исходные кривые'!$B$9:$N$9,1,MATCH(D29,'Исходные кривые'!$B$8:$N$8,1))+(D29-INDEX('Исходные кривые'!$B$8:$N$8,1,MATCH(D29,'Исходные кривые'!$B$8:$N$8,1)))*(INDEX('Исходные кривые'!$B$9:$N$9,1,MATCH(D29,'Исходные кривые'!$B$8:$N$8,1)+1)-INDEX('Исходные кривые'!$B$9:$N$9,1,MATCH(D29,'Исходные кривые'!$B$8:$N$8,1)))/(INDEX('Исходные кривые'!$B$8:$N$8,1,MATCH(D29,'Исходные кривые'!$B$8:$N$8,1)+1)-INDEX('Исходные кривые'!$B$8:$N$8,1,MATCH(D29,'Исходные кривые'!$B$8:$N$8,1)))))</x:f>
        <x:v>16.6313698630137</x:v>
      </x:c>
      <x:c r="G29" s="70" t="n">
        <x:f>IF(D29&lt;=MIN('Исходные кривые'!$B$12:$K$12),INDEX('Исходные кривые'!$B$13:$K$13,1,1),IF(D29&gt;=MAX('Исходные кривые'!$B$12:$K$12),INDEX('Исходные кривые'!$B$13:$K$13,1,COLUMNS('Исходные кривые'!$B$13:$K$13)),INDEX('Исходные кривые'!$B$13:$K$13,1,MATCH(D29,'Исходные кривые'!$B$12:$K$12,1))+(D29-INDEX('Исходные кривые'!$B$12:$K$12,1,MATCH(D29,'Исходные кривые'!$B$12:$K$12,1)))*(INDEX('Исходные кривые'!$B$13:$K$13,1,MATCH(D29,'Исходные кривые'!$B$12:$K$12,1)+1)-INDEX('Исходные кривые'!$B$13:$K$13,1,MATCH(D29,'Исходные кривые'!$B$12:$K$12,1)))/(INDEX('Исходные кривые'!$B$12:$K$12,1,MATCH(D29,'Исходные кривые'!$B$12:$K$12,1)+1)-INDEX('Исходные кривые'!$B$12:$K$12,1,MATCH(D29,'Исходные кривые'!$B$12:$K$12,1)))))</x:f>
        <x:v>52.98082191780822</x:v>
      </x:c>
      <x:c r="H29" s="70" t="n">
        <x:f>IF(D29&lt;=MIN('Исходные кривые'!$B$12:$K$12),INDEX('Исходные кривые'!$B$14:$K$14,1,1),IF(D29&gt;=MAX('Исходные кривые'!$B$12:$K$12),INDEX('Исходные кривые'!$B$14:$K$14,1,COLUMNS('Исходные кривые'!$B$14:$K$14)),INDEX('Исходные кривые'!$B$14:$K$14,1,MATCH(D29,'Исходные кривые'!$B$12:$K$12,1))+(D29-INDEX('Исходные кривые'!$B$12:$K$12,1,MATCH(D29,'Исходные кривые'!$B$12:$K$12,1)))*(INDEX('Исходные кривые'!$B$14:$K$14,1,MATCH(D29,'Исходные кривые'!$B$12:$K$12,1)+1)-INDEX('Исходные кривые'!$B$14:$K$14,1,MATCH(D29,'Исходные кривые'!$B$12:$K$12,1)))/(INDEX('Исходные кривые'!$B$12:$K$12,1,MATCH(D29,'Исходные кривые'!$B$12:$K$12,1)+1)-INDEX('Исходные кривые'!$B$12:$K$12,1,MATCH(D29,'Исходные кривые'!$B$12:$K$12,1)))))</x:f>
        <x:v>-27.83013698630137</x:v>
      </x:c>
      <x:c r="I29" s="70" t="n">
        <x:f>IF(D29&lt;=MIN('Исходные кривые'!$B$17:$L$17),INDEX('Исходные кривые'!$B$18:$L$18,1,1),IF(D29&gt;=MAX('Исходные кривые'!$B$17:$L$17),INDEX('Исходные кривые'!$B$18:$L$18,1,COLUMNS('Исходные кривые'!$B$18:$L$18)),INDEX('Исходные кривые'!$B$18:$L$18,1,MATCH(D29,'Исходные кривые'!$B$17:$L$17,1))+(D29-INDEX('Исходные кривые'!$B$17:$L$17,1,MATCH(D29,'Исходные кривые'!$B$17:$L$17,1)))*(INDEX('Исходные кривые'!$B$18:$L$18,1,MATCH(D29,'Исходные кривые'!$B$17:$L$17,1)+1)-INDEX('Исходные кривые'!$B$18:$L$18,1,MATCH(D29,'Исходные кривые'!$B$17:$L$17,1)))/(INDEX('Исходные кривые'!$B$17:$L$17,1,MATCH(D29,'Исходные кривые'!$B$17:$L$17,1)+1)-INDEX('Исходные кривые'!$B$17:$L$17,1,MATCH(D29,'Исходные кривые'!$B$17:$L$17,1)))))</x:f>
        <x:v>6.315068493150685</x:v>
      </x:c>
      <x:c r="J29" s="70" t="n">
        <x:f>IF(D29&lt;=MIN('Исходные кривые'!$B$17:$L$17),INDEX('Исходные кривые'!$B$19:$L$19,1,1),IF(D29&gt;=MAX('Исходные кривые'!$B$17:$L$17),INDEX('Исходные кривые'!$B$19:$L$19,1,COLUMNS('Исходные кривые'!$B$19:$L$19)),INDEX('Исходные кривые'!$B$19:$L$19,1,MATCH(D29,'Исходные кривые'!$B$17:$L$17,1))+(D29-INDEX('Исходные кривые'!$B$17:$L$17,1,MATCH(D29,'Исходные кривые'!$B$17:$L$17,1)))*(INDEX('Исходные кривые'!$B$19:$L$19,1,MATCH(D29,'Исходные кривые'!$B$17:$L$17,1)+1)-INDEX('Исходные кривые'!$B$19:$L$19,1,MATCH(D29,'Исходные кривые'!$B$17:$L$17,1)))/(INDEX('Исходные кривые'!$B$17:$L$17,1,MATCH(D29,'Исходные кривые'!$B$17:$L$17,1)+1)-INDEX('Исходные кривые'!$B$17:$L$17,1,MATCH(D29,'Исходные кривые'!$B$17:$L$17,1)))))</x:f>
        <x:v>-3.3782191780821917</x:v>
      </x:c>
    </x:row>
    <x:row r="30">
      <x:c r="A30" s="47" t="str">
        <x:v>Новый набор — изображение 2</x:v>
      </x:c>
      <x:c r="B30" s="48" t="n">
        <x:v>47514</x:v>
      </x:c>
      <x:c r="C30" s="69" t="n">
        <x:f>B30-'Настройки'!$B$4</x:f>
        <x:v>1311</x:v>
      </x:c>
      <x:c r="D30" s="70" t="n">
        <x:f>C30/'Настройки'!$B$5</x:f>
        <x:v>3.591780821917808</x:v>
      </x:c>
      <x:c r="E30" s="70" t="n">
        <x:f>IF(D30&lt;=MIN('Исходные кривые'!$B$4:$L$4),INDEX('Исходные кривые'!$B$5:$L$5,1,1),IF(D30&gt;=MAX('Исходные кривые'!$B$4:$L$4),INDEX('Исходные кривые'!$B$5:$L$5,1,COLUMNS('Исходные кривые'!$B$5:$L$5)),INDEX('Исходные кривые'!$B$5:$L$5,1,MATCH(D30,'Исходные кривые'!$B$4:$L$4,1))+(D30-INDEX('Исходные кривые'!$B$4:$L$4,1,MATCH(D30,'Исходные кривые'!$B$4:$L$4,1)))*(INDEX('Исходные кривые'!$B$5:$L$5,1,MATCH(D30,'Исходные кривые'!$B$4:$L$4,1)+1)-INDEX('Исходные кривые'!$B$5:$L$5,1,MATCH(D30,'Исходные кривые'!$B$4:$L$4,1)))/(INDEX('Исходные кривые'!$B$4:$L$4,1,MATCH(D30,'Исходные кривые'!$B$4:$L$4,1)+1)-INDEX('Исходные кривые'!$B$4:$L$4,1,MATCH(D30,'Исходные кривые'!$B$4:$L$4,1)))))</x:f>
        <x:v>14.751095890410959</x:v>
      </x:c>
      <x:c r="F30" s="70" t="n">
        <x:f>IF(D30&lt;=MIN('Исходные кривые'!$B$8:$N$8),INDEX('Исходные кривые'!$B$9:$N$9,1,1),IF(D30&gt;=MAX('Исходные кривые'!$B$8:$N$8),INDEX('Исходные кривые'!$B$9:$N$9,1,COLUMNS('Исходные кривые'!$B$9:$N$9)),INDEX('Исходные кривые'!$B$9:$N$9,1,MATCH(D30,'Исходные кривые'!$B$8:$N$8,1))+(D30-INDEX('Исходные кривые'!$B$8:$N$8,1,MATCH(D30,'Исходные кривые'!$B$8:$N$8,1)))*(INDEX('Исходные кривые'!$B$9:$N$9,1,MATCH(D30,'Исходные кривые'!$B$8:$N$8,1)+1)-INDEX('Исходные кривые'!$B$9:$N$9,1,MATCH(D30,'Исходные кривые'!$B$8:$N$8,1)))/(INDEX('Исходные кривые'!$B$8:$N$8,1,MATCH(D30,'Исходные кривые'!$B$8:$N$8,1)+1)-INDEX('Исходные кривые'!$B$8:$N$8,1,MATCH(D30,'Исходные кривые'!$B$8:$N$8,1)))))</x:f>
        <x:v>16.75109589041096</x:v>
      </x:c>
      <x:c r="G30" s="70" t="n">
        <x:f>IF(D30&lt;=MIN('Исходные кривые'!$B$12:$K$12),INDEX('Исходные кривые'!$B$13:$K$13,1,1),IF(D30&gt;=MAX('Исходные кривые'!$B$12:$K$12),INDEX('Исходные кривые'!$B$13:$K$13,1,COLUMNS('Исходные кривые'!$B$13:$K$13)),INDEX('Исходные кривые'!$B$13:$K$13,1,MATCH(D30,'Исходные кривые'!$B$12:$K$12,1))+(D30-INDEX('Исходные кривые'!$B$12:$K$12,1,MATCH(D30,'Исходные кривые'!$B$12:$K$12,1)))*(INDEX('Исходные кривые'!$B$13:$K$13,1,MATCH(D30,'Исходные кривые'!$B$12:$K$12,1)+1)-INDEX('Исходные кривые'!$B$13:$K$13,1,MATCH(D30,'Исходные кривые'!$B$12:$K$12,1)))/(INDEX('Исходные кривые'!$B$12:$K$12,1,MATCH(D30,'Исходные кривые'!$B$12:$K$12,1)+1)-INDEX('Исходные кривые'!$B$12:$K$12,1,MATCH(D30,'Исходные кривые'!$B$12:$K$12,1)))))</x:f>
        <x:v>52.224657534246575</x:v>
      </x:c>
      <x:c r="H30" s="70" t="n">
        <x:f>IF(D30&lt;=MIN('Исходные кривые'!$B$12:$K$12),INDEX('Исходные кривые'!$B$14:$K$14,1,1),IF(D30&gt;=MAX('Исходные кривые'!$B$12:$K$12),INDEX('Исходные кривые'!$B$14:$K$14,1,COLUMNS('Исходные кривые'!$B$14:$K$14)),INDEX('Исходные кривые'!$B$14:$K$14,1,MATCH(D30,'Исходные кривые'!$B$12:$K$12,1))+(D30-INDEX('Исходные кривые'!$B$12:$K$12,1,MATCH(D30,'Исходные кривые'!$B$12:$K$12,1)))*(INDEX('Исходные кривые'!$B$14:$K$14,1,MATCH(D30,'Исходные кривые'!$B$12:$K$12,1)+1)-INDEX('Исходные кривые'!$B$14:$K$14,1,MATCH(D30,'Исходные кривые'!$B$12:$K$12,1)))/(INDEX('Исходные кривые'!$B$12:$K$12,1,MATCH(D30,'Исходные кривые'!$B$12:$K$12,1)+1)-INDEX('Исходные кривые'!$B$12:$K$12,1,MATCH(D30,'Исходные кривые'!$B$12:$K$12,1)))))</x:f>
        <x:v>-27.704109589041096</x:v>
      </x:c>
      <x:c r="I30" s="70" t="n">
        <x:f>IF(D30&lt;=MIN('Исходные кривые'!$B$17:$L$17),INDEX('Исходные кривые'!$B$18:$L$18,1,1),IF(D30&gt;=MAX('Исходные кривые'!$B$17:$L$17),INDEX('Исходные кривые'!$B$18:$L$18,1,COLUMNS('Исходные кривые'!$B$18:$L$18)),INDEX('Исходные кривые'!$B$18:$L$18,1,MATCH(D30,'Исходные кривые'!$B$17:$L$17,1))+(D30-INDEX('Исходные кривые'!$B$17:$L$17,1,MATCH(D30,'Исходные кривые'!$B$17:$L$17,1)))*(INDEX('Исходные кривые'!$B$18:$L$18,1,MATCH(D30,'Исходные кривые'!$B$17:$L$17,1)+1)-INDEX('Исходные кривые'!$B$18:$L$18,1,MATCH(D30,'Исходные кривые'!$B$17:$L$17,1)))/(INDEX('Исходные кривые'!$B$17:$L$17,1,MATCH(D30,'Исходные кривые'!$B$17:$L$17,1)+1)-INDEX('Исходные кривые'!$B$17:$L$17,1,MATCH(D30,'Исходные кривые'!$B$17:$L$17,1)))))</x:f>
        <x:v>6.252054794520548</x:v>
      </x:c>
      <x:c r="J30" s="70" t="n">
        <x:f>IF(D30&lt;=MIN('Исходные кривые'!$B$17:$L$17),INDEX('Исходные кривые'!$B$19:$L$19,1,1),IF(D30&gt;=MAX('Исходные кривые'!$B$17:$L$17),INDEX('Исходные кривые'!$B$19:$L$19,1,COLUMNS('Исходные кривые'!$B$19:$L$19)),INDEX('Исходные кривые'!$B$19:$L$19,1,MATCH(D30,'Исходные кривые'!$B$17:$L$17,1))+(D30-INDEX('Исходные кривые'!$B$17:$L$17,1,MATCH(D30,'Исходные кривые'!$B$17:$L$17,1)))*(INDEX('Исходные кривые'!$B$19:$L$19,1,MATCH(D30,'Исходные кривые'!$B$17:$L$17,1)+1)-INDEX('Исходные кривые'!$B$19:$L$19,1,MATCH(D30,'Исходные кривые'!$B$17:$L$17,1)))/(INDEX('Исходные кривые'!$B$17:$L$17,1,MATCH(D30,'Исходные кривые'!$B$17:$L$17,1)+1)-INDEX('Исходные кривые'!$B$17:$L$17,1,MATCH(D30,'Исходные кривые'!$B$17:$L$17,1)))))</x:f>
        <x:v>-3.1765753424657537</x:v>
      </x:c>
    </x:row>
    <x:row r="31">
      <x:c r="A31" s="47" t="str">
        <x:v>Новый набор — изображение 2</x:v>
      </x:c>
      <x:c r="B31" s="48" t="n">
        <x:v>47605</x:v>
      </x:c>
      <x:c r="C31" s="69" t="n">
        <x:f>B31-'Настройки'!$B$4</x:f>
        <x:v>1402</x:v>
      </x:c>
      <x:c r="D31" s="70" t="n">
        <x:f>C31/'Настройки'!$B$5</x:f>
        <x:v>3.841095890410959</x:v>
      </x:c>
      <x:c r="E31" s="70" t="n">
        <x:f>IF(D31&lt;=MIN('Исходные кривые'!$B$4:$L$4),INDEX('Исходные кривые'!$B$5:$L$5,1,1),IF(D31&gt;=MAX('Исходные кривые'!$B$4:$L$4),INDEX('Исходные кривые'!$B$5:$L$5,1,COLUMNS('Исходные кривые'!$B$5:$L$5)),INDEX('Исходные кривые'!$B$5:$L$5,1,MATCH(D31,'Исходные кривые'!$B$4:$L$4,1))+(D31-INDEX('Исходные кривые'!$B$4:$L$4,1,MATCH(D31,'Исходные кривые'!$B$4:$L$4,1)))*(INDEX('Исходные кривые'!$B$5:$L$5,1,MATCH(D31,'Исходные кривые'!$B$4:$L$4,1)+1)-INDEX('Исходные кривые'!$B$5:$L$5,1,MATCH(D31,'Исходные кривые'!$B$4:$L$4,1)))/(INDEX('Исходные кривые'!$B$4:$L$4,1,MATCH(D31,'Исходные кривые'!$B$4:$L$4,1)+1)-INDEX('Исходные кривые'!$B$4:$L$4,1,MATCH(D31,'Исходные кривые'!$B$4:$L$4,1)))))</x:f>
        <x:v>14.869520547945205</x:v>
      </x:c>
      <x:c r="F31" s="70" t="n">
        <x:f>IF(D31&lt;=MIN('Исходные кривые'!$B$8:$N$8),INDEX('Исходные кривые'!$B$9:$N$9,1,1),IF(D31&gt;=MAX('Исходные кривые'!$B$8:$N$8),INDEX('Исходные кривые'!$B$9:$N$9,1,COLUMNS('Исходные кривые'!$B$9:$N$9)),INDEX('Исходные кривые'!$B$9:$N$9,1,MATCH(D31,'Исходные кривые'!$B$8:$N$8,1))+(D31-INDEX('Исходные кривые'!$B$8:$N$8,1,MATCH(D31,'Исходные кривые'!$B$8:$N$8,1)))*(INDEX('Исходные кривые'!$B$9:$N$9,1,MATCH(D31,'Исходные кривые'!$B$8:$N$8,1)+1)-INDEX('Исходные кривые'!$B$9:$N$9,1,MATCH(D31,'Исходные кривые'!$B$8:$N$8,1)))/(INDEX('Исходные кривые'!$B$8:$N$8,1,MATCH(D31,'Исходные кривые'!$B$8:$N$8,1)+1)-INDEX('Исходные кривые'!$B$8:$N$8,1,MATCH(D31,'Исходные кривые'!$B$8:$N$8,1)))))</x:f>
        <x:v>16.869520547945207</x:v>
      </x:c>
      <x:c r="G31" s="70" t="n">
        <x:f>IF(D31&lt;=MIN('Исходные кривые'!$B$12:$K$12),INDEX('Исходные кривые'!$B$13:$K$13,1,1),IF(D31&gt;=MAX('Исходные кривые'!$B$12:$K$12),INDEX('Исходные кривые'!$B$13:$K$13,1,COLUMNS('Исходные кривые'!$B$13:$K$13)),INDEX('Исходные кривые'!$B$13:$K$13,1,MATCH(D31,'Исходные кривые'!$B$12:$K$12,1))+(D31-INDEX('Исходные кривые'!$B$12:$K$12,1,MATCH(D31,'Исходные кривые'!$B$12:$K$12,1)))*(INDEX('Исходные кривые'!$B$13:$K$13,1,MATCH(D31,'Исходные кривые'!$B$12:$K$12,1)+1)-INDEX('Исходные кривые'!$B$13:$K$13,1,MATCH(D31,'Исходные кривые'!$B$12:$K$12,1)))/(INDEX('Исходные кривые'!$B$12:$K$12,1,MATCH(D31,'Исходные кривые'!$B$12:$K$12,1)+1)-INDEX('Исходные кривые'!$B$12:$K$12,1,MATCH(D31,'Исходные кривые'!$B$12:$K$12,1)))))</x:f>
        <x:v>51.47671232876712</x:v>
      </x:c>
      <x:c r="H31" s="70" t="n">
        <x:f>IF(D31&lt;=MIN('Исходные кривые'!$B$12:$K$12),INDEX('Исходные кривые'!$B$14:$K$14,1,1),IF(D31&gt;=MAX('Исходные кривые'!$B$12:$K$12),INDEX('Исходные кривые'!$B$14:$K$14,1,COLUMNS('Исходные кривые'!$B$14:$K$14)),INDEX('Исходные кривые'!$B$14:$K$14,1,MATCH(D31,'Исходные кривые'!$B$12:$K$12,1))+(D31-INDEX('Исходные кривые'!$B$12:$K$12,1,MATCH(D31,'Исходные кривые'!$B$12:$K$12,1)))*(INDEX('Исходные кривые'!$B$14:$K$14,1,MATCH(D31,'Исходные кривые'!$B$12:$K$12,1)+1)-INDEX('Исходные кривые'!$B$14:$K$14,1,MATCH(D31,'Исходные кривые'!$B$12:$K$12,1)))/(INDEX('Исходные кривые'!$B$12:$K$12,1,MATCH(D31,'Исходные кривые'!$B$12:$K$12,1)+1)-INDEX('Исходные кривые'!$B$12:$K$12,1,MATCH(D31,'Исходные кривые'!$B$12:$K$12,1)))))</x:f>
        <x:v>-27.57945205479452</x:v>
      </x:c>
      <x:c r="I31" s="70" t="n">
        <x:f>IF(D31&lt;=MIN('Исходные кривые'!$B$17:$L$17),INDEX('Исходные кривые'!$B$18:$L$18,1,1),IF(D31&gt;=MAX('Исходные кривые'!$B$17:$L$17),INDEX('Исходные кривые'!$B$18:$L$18,1,COLUMNS('Исходные кривые'!$B$18:$L$18)),INDEX('Исходные кривые'!$B$18:$L$18,1,MATCH(D31,'Исходные кривые'!$B$17:$L$17,1))+(D31-INDEX('Исходные кривые'!$B$17:$L$17,1,MATCH(D31,'Исходные кривые'!$B$17:$L$17,1)))*(INDEX('Исходные кривые'!$B$18:$L$18,1,MATCH(D31,'Исходные кривые'!$B$17:$L$17,1)+1)-INDEX('Исходные кривые'!$B$18:$L$18,1,MATCH(D31,'Исходные кривые'!$B$17:$L$17,1)))/(INDEX('Исходные кривые'!$B$17:$L$17,1,MATCH(D31,'Исходные кривые'!$B$17:$L$17,1)+1)-INDEX('Исходные кривые'!$B$17:$L$17,1,MATCH(D31,'Исходные кривые'!$B$17:$L$17,1)))))</x:f>
        <x:v>6.189726027397261</x:v>
      </x:c>
      <x:c r="J31" s="70" t="n">
        <x:f>IF(D31&lt;=MIN('Исходные кривые'!$B$17:$L$17),INDEX('Исходные кривые'!$B$19:$L$19,1,1),IF(D31&gt;=MAX('Исходные кривые'!$B$17:$L$17),INDEX('Исходные кривые'!$B$19:$L$19,1,COLUMNS('Исходные кривые'!$B$19:$L$19)),INDEX('Исходные кривые'!$B$19:$L$19,1,MATCH(D31,'Исходные кривые'!$B$17:$L$17,1))+(D31-INDEX('Исходные кривые'!$B$17:$L$17,1,MATCH(D31,'Исходные кривые'!$B$17:$L$17,1)))*(INDEX('Исходные кривые'!$B$19:$L$19,1,MATCH(D31,'Исходные кривые'!$B$17:$L$17,1)+1)-INDEX('Исходные кривые'!$B$19:$L$19,1,MATCH(D31,'Исходные кривые'!$B$17:$L$17,1)))/(INDEX('Исходные кривые'!$B$17:$L$17,1,MATCH(D31,'Исходные кривые'!$B$17:$L$17,1)+1)-INDEX('Исходные кривые'!$B$17:$L$17,1,MATCH(D31,'Исходные кривые'!$B$17:$L$17,1)))))</x:f>
        <x:v>-2.977123287671233</x:v>
      </x:c>
    </x:row>
    <x:row r="32">
      <x:c r="A32" s="47" t="str">
        <x:v>Новый набор — изображение 2</x:v>
      </x:c>
      <x:c r="B32" s="48" t="n">
        <x:v>47695</x:v>
      </x:c>
      <x:c r="C32" s="69" t="n">
        <x:f>B32-'Настройки'!$B$4</x:f>
        <x:v>1492</x:v>
      </x:c>
      <x:c r="D32" s="70" t="n">
        <x:f>C32/'Настройки'!$B$5</x:f>
        <x:v>4.087671232876712</x:v>
      </x:c>
      <x:c r="E32" s="70" t="n">
        <x:f>IF(D32&lt;=MIN('Исходные кривые'!$B$4:$L$4),INDEX('Исходные кривые'!$B$5:$L$5,1,1),IF(D32&gt;=MAX('Исходные кривые'!$B$4:$L$4),INDEX('Исходные кривые'!$B$5:$L$5,1,COLUMNS('Исходные кривые'!$B$5:$L$5)),INDEX('Исходные кривые'!$B$5:$L$5,1,MATCH(D32,'Исходные кривые'!$B$4:$L$4,1))+(D32-INDEX('Исходные кривые'!$B$4:$L$4,1,MATCH(D32,'Исходные кривые'!$B$4:$L$4,1)))*(INDEX('Исходные кривые'!$B$5:$L$5,1,MATCH(D32,'Исходные кривые'!$B$4:$L$4,1)+1)-INDEX('Исходные кривые'!$B$5:$L$5,1,MATCH(D32,'Исходные кривые'!$B$4:$L$4,1)))/(INDEX('Исходные кривые'!$B$4:$L$4,1,MATCH(D32,'Исходные кривые'!$B$4:$L$4,1)+1)-INDEX('Исходные кривые'!$B$4:$L$4,1,MATCH(D32,'Исходные кривые'!$B$4:$L$4,1)))))</x:f>
        <x:v>14.986643835616439</x:v>
      </x:c>
      <x:c r="F32" s="70" t="n">
        <x:f>IF(D32&lt;=MIN('Исходные кривые'!$B$8:$N$8),INDEX('Исходные кривые'!$B$9:$N$9,1,1),IF(D32&gt;=MAX('Исходные кривые'!$B$8:$N$8),INDEX('Исходные кривые'!$B$9:$N$9,1,COLUMNS('Исходные кривые'!$B$9:$N$9)),INDEX('Исходные кривые'!$B$9:$N$9,1,MATCH(D32,'Исходные кривые'!$B$8:$N$8,1))+(D32-INDEX('Исходные кривые'!$B$8:$N$8,1,MATCH(D32,'Исходные кривые'!$B$8:$N$8,1)))*(INDEX('Исходные кривые'!$B$9:$N$9,1,MATCH(D32,'Исходные кривые'!$B$8:$N$8,1)+1)-INDEX('Исходные кривые'!$B$9:$N$9,1,MATCH(D32,'Исходные кривые'!$B$8:$N$8,1)))/(INDEX('Исходные кривые'!$B$8:$N$8,1,MATCH(D32,'Исходные кривые'!$B$8:$N$8,1)+1)-INDEX('Исходные кривые'!$B$8:$N$8,1,MATCH(D32,'Исходные кривые'!$B$8:$N$8,1)))))</x:f>
        <x:v>16.986643835616437</x:v>
      </x:c>
      <x:c r="G32" s="70" t="n">
        <x:f>IF(D32&lt;=MIN('Исходные кривые'!$B$12:$K$12),INDEX('Исходные кривые'!$B$13:$K$13,1,1),IF(D32&gt;=MAX('Исходные кривые'!$B$12:$K$12),INDEX('Исходные кривые'!$B$13:$K$13,1,COLUMNS('Исходные кривые'!$B$13:$K$13)),INDEX('Исходные кривые'!$B$13:$K$13,1,MATCH(D32,'Исходные кривые'!$B$12:$K$12,1))+(D32-INDEX('Исходные кривые'!$B$12:$K$12,1,MATCH(D32,'Исходные кривые'!$B$12:$K$12,1)))*(INDEX('Исходные кривые'!$B$13:$K$13,1,MATCH(D32,'Исходные кривые'!$B$12:$K$12,1)+1)-INDEX('Исходные кривые'!$B$13:$K$13,1,MATCH(D32,'Исходные кривые'!$B$12:$K$12,1)))/(INDEX('Исходные кривые'!$B$12:$K$12,1,MATCH(D32,'Исходные кривые'!$B$12:$K$12,1)+1)-INDEX('Исходные кривые'!$B$12:$K$12,1,MATCH(D32,'Исходные кривые'!$B$12:$K$12,1)))))</x:f>
        <x:v>50.73698630136987</x:v>
      </x:c>
      <x:c r="H32" s="70" t="n">
        <x:f>IF(D32&lt;=MIN('Исходные кривые'!$B$12:$K$12),INDEX('Исходные кривые'!$B$14:$K$14,1,1),IF(D32&gt;=MAX('Исходные кривые'!$B$12:$K$12),INDEX('Исходные кривые'!$B$14:$K$14,1,COLUMNS('Исходные кривые'!$B$14:$K$14)),INDEX('Исходные кривые'!$B$14:$K$14,1,MATCH(D32,'Исходные кривые'!$B$12:$K$12,1))+(D32-INDEX('Исходные кривые'!$B$12:$K$12,1,MATCH(D32,'Исходные кривые'!$B$12:$K$12,1)))*(INDEX('Исходные кривые'!$B$14:$K$14,1,MATCH(D32,'Исходные кривые'!$B$12:$K$12,1)+1)-INDEX('Исходные кривые'!$B$14:$K$14,1,MATCH(D32,'Исходные кривые'!$B$12:$K$12,1)))/(INDEX('Исходные кривые'!$B$12:$K$12,1,MATCH(D32,'Исходные кривые'!$B$12:$K$12,1)+1)-INDEX('Исходные кривые'!$B$12:$K$12,1,MATCH(D32,'Исходные кривые'!$B$12:$K$12,1)))))</x:f>
        <x:v>-27.456164383561642</x:v>
      </x:c>
      <x:c r="I32" s="70" t="n">
        <x:f>IF(D32&lt;=MIN('Исходные кривые'!$B$17:$L$17),INDEX('Исходные кривые'!$B$18:$L$18,1,1),IF(D32&gt;=MAX('Исходные кривые'!$B$17:$L$17),INDEX('Исходные кривые'!$B$18:$L$18,1,COLUMNS('Исходные кривые'!$B$18:$L$18)),INDEX('Исходные кривые'!$B$18:$L$18,1,MATCH(D32,'Исходные кривые'!$B$17:$L$17,1))+(D32-INDEX('Исходные кривые'!$B$17:$L$17,1,MATCH(D32,'Исходные кривые'!$B$17:$L$17,1)))*(INDEX('Исходные кривые'!$B$18:$L$18,1,MATCH(D32,'Исходные кривые'!$B$17:$L$17,1)+1)-INDEX('Исходные кривые'!$B$18:$L$18,1,MATCH(D32,'Исходные кривые'!$B$17:$L$17,1)))/(INDEX('Исходные кривые'!$B$17:$L$17,1,MATCH(D32,'Исходные кривые'!$B$17:$L$17,1)+1)-INDEX('Исходные кривые'!$B$17:$L$17,1,MATCH(D32,'Исходные кривые'!$B$17:$L$17,1)))))</x:f>
        <x:v>6.084246575342466</x:v>
      </x:c>
      <x:c r="J32" s="70" t="n">
        <x:f>IF(D32&lt;=MIN('Исходные кривые'!$B$17:$L$17),INDEX('Исходные кривые'!$B$19:$L$19,1,1),IF(D32&gt;=MAX('Исходные кривые'!$B$17:$L$17),INDEX('Исходные кривые'!$B$19:$L$19,1,COLUMNS('Исходные кривые'!$B$19:$L$19)),INDEX('Исходные кривые'!$B$19:$L$19,1,MATCH(D32,'Исходные кривые'!$B$17:$L$17,1))+(D32-INDEX('Исходные кривые'!$B$17:$L$17,1,MATCH(D32,'Исходные кривые'!$B$17:$L$17,1)))*(INDEX('Исходные кривые'!$B$19:$L$19,1,MATCH(D32,'Исходные кривые'!$B$17:$L$17,1)+1)-INDEX('Исходные кривые'!$B$19:$L$19,1,MATCH(D32,'Исходные кривые'!$B$17:$L$17,1)))/(INDEX('Исходные кривые'!$B$17:$L$17,1,MATCH(D32,'Исходные кривые'!$B$17:$L$17,1)+1)-INDEX('Исходные кривые'!$B$17:$L$17,1,MATCH(D32,'Исходные кривые'!$B$17:$L$17,1)))))</x:f>
        <x:v>-2.766712328767124</x:v>
      </x:c>
    </x:row>
    <x:row r="33">
      <x:c r="A33" s="47" t="str">
        <x:v>Новый набор — изображение 2</x:v>
      </x:c>
      <x:c r="B33" s="48" t="n">
        <x:v>47787</x:v>
      </x:c>
      <x:c r="C33" s="69" t="n">
        <x:f>B33-'Настройки'!$B$4</x:f>
        <x:v>1584</x:v>
      </x:c>
      <x:c r="D33" s="70" t="n">
        <x:f>C33/'Настройки'!$B$5</x:f>
        <x:v>4.33972602739726</x:v>
      </x:c>
      <x:c r="E33" s="70" t="n">
        <x:f>IF(D33&lt;=MIN('Исходные кривые'!$B$4:$L$4),INDEX('Исходные кривые'!$B$5:$L$5,1,1),IF(D33&gt;=MAX('Исходные кривые'!$B$4:$L$4),INDEX('Исходные кривые'!$B$5:$L$5,1,COLUMNS('Исходные кривые'!$B$5:$L$5)),INDEX('Исходные кривые'!$B$5:$L$5,1,MATCH(D33,'Исходные кривые'!$B$4:$L$4,1))+(D33-INDEX('Исходные кривые'!$B$4:$L$4,1,MATCH(D33,'Исходные кривые'!$B$4:$L$4,1)))*(INDEX('Исходные кривые'!$B$5:$L$5,1,MATCH(D33,'Исходные кривые'!$B$4:$L$4,1)+1)-INDEX('Исходные кривые'!$B$5:$L$5,1,MATCH(D33,'Исходные кривые'!$B$4:$L$4,1)))/(INDEX('Исходные кривые'!$B$4:$L$4,1,MATCH(D33,'Исходные кривые'!$B$4:$L$4,1)+1)-INDEX('Исходные кривые'!$B$4:$L$4,1,MATCH(D33,'Исходные кривые'!$B$4:$L$4,1)))))</x:f>
        <x:v>15.106369863013699</x:v>
      </x:c>
      <x:c r="F33" s="70" t="n">
        <x:f>IF(D33&lt;=MIN('Исходные кривые'!$B$8:$N$8),INDEX('Исходные кривые'!$B$9:$N$9,1,1),IF(D33&gt;=MAX('Исходные кривые'!$B$8:$N$8),INDEX('Исходные кривые'!$B$9:$N$9,1,COLUMNS('Исходные кривые'!$B$9:$N$9)),INDEX('Исходные кривые'!$B$9:$N$9,1,MATCH(D33,'Исходные кривые'!$B$8:$N$8,1))+(D33-INDEX('Исходные кривые'!$B$8:$N$8,1,MATCH(D33,'Исходные кривые'!$B$8:$N$8,1)))*(INDEX('Исходные кривые'!$B$9:$N$9,1,MATCH(D33,'Исходные кривые'!$B$8:$N$8,1)+1)-INDEX('Исходные кривые'!$B$9:$N$9,1,MATCH(D33,'Исходные кривые'!$B$8:$N$8,1)))/(INDEX('Исходные кривые'!$B$8:$N$8,1,MATCH(D33,'Исходные кривые'!$B$8:$N$8,1)+1)-INDEX('Исходные кривые'!$B$8:$N$8,1,MATCH(D33,'Исходные кривые'!$B$8:$N$8,1)))))</x:f>
        <x:v>17.1063698630137</x:v>
      </x:c>
      <x:c r="G33" s="70" t="n">
        <x:f>IF(D33&lt;=MIN('Исходные кривые'!$B$12:$K$12),INDEX('Исходные кривые'!$B$13:$K$13,1,1),IF(D33&gt;=MAX('Исходные кривые'!$B$12:$K$12),INDEX('Исходные кривые'!$B$13:$K$13,1,COLUMNS('Исходные кривые'!$B$13:$K$13)),INDEX('Исходные кривые'!$B$13:$K$13,1,MATCH(D33,'Исходные кривые'!$B$12:$K$12,1))+(D33-INDEX('Исходные кривые'!$B$12:$K$12,1,MATCH(D33,'Исходные кривые'!$B$12:$K$12,1)))*(INDEX('Исходные кривые'!$B$13:$K$13,1,MATCH(D33,'Исходные кривые'!$B$12:$K$12,1)+1)-INDEX('Исходные кривые'!$B$13:$K$13,1,MATCH(D33,'Исходные кривые'!$B$12:$K$12,1)))/(INDEX('Исходные кривые'!$B$12:$K$12,1,MATCH(D33,'Исходные кривые'!$B$12:$K$12,1)+1)-INDEX('Исходные кривые'!$B$12:$K$12,1,MATCH(D33,'Исходные кривые'!$B$12:$K$12,1)))))</x:f>
        <x:v>49.98082191780822</x:v>
      </x:c>
      <x:c r="H33" s="70" t="n">
        <x:f>IF(D33&lt;=MIN('Исходные кривые'!$B$12:$K$12),INDEX('Исходные кривые'!$B$14:$K$14,1,1),IF(D33&gt;=MAX('Исходные кривые'!$B$12:$K$12),INDEX('Исходные кривые'!$B$14:$K$14,1,COLUMNS('Исходные кривые'!$B$14:$K$14)),INDEX('Исходные кривые'!$B$14:$K$14,1,MATCH(D33,'Исходные кривые'!$B$12:$K$12,1))+(D33-INDEX('Исходные кривые'!$B$12:$K$12,1,MATCH(D33,'Исходные кривые'!$B$12:$K$12,1)))*(INDEX('Исходные кривые'!$B$14:$K$14,1,MATCH(D33,'Исходные кривые'!$B$12:$K$12,1)+1)-INDEX('Исходные кривые'!$B$14:$K$14,1,MATCH(D33,'Исходные кривые'!$B$12:$K$12,1)))/(INDEX('Исходные кривые'!$B$12:$K$12,1,MATCH(D33,'Исходные кривые'!$B$12:$K$12,1)+1)-INDEX('Исходные кривые'!$B$12:$K$12,1,MATCH(D33,'Исходные кривые'!$B$12:$K$12,1)))))</x:f>
        <x:v>-27.33013698630137</x:v>
      </x:c>
      <x:c r="I33" s="70" t="n">
        <x:f>IF(D33&lt;=MIN('Исходные кривые'!$B$17:$L$17),INDEX('Исходные кривые'!$B$18:$L$18,1,1),IF(D33&gt;=MAX('Исходные кривые'!$B$17:$L$17),INDEX('Исходные кривые'!$B$18:$L$18,1,COLUMNS('Исходные кривые'!$B$18:$L$18)),INDEX('Исходные кривые'!$B$18:$L$18,1,MATCH(D33,'Исходные кривые'!$B$17:$L$17,1))+(D33-INDEX('Исходные кривые'!$B$17:$L$17,1,MATCH(D33,'Исходные кривые'!$B$17:$L$17,1)))*(INDEX('Исходные кривые'!$B$18:$L$18,1,MATCH(D33,'Исходные кривые'!$B$17:$L$17,1)+1)-INDEX('Исходные кривые'!$B$18:$L$18,1,MATCH(D33,'Исходные кривые'!$B$17:$L$17,1)))/(INDEX('Исходные кривые'!$B$17:$L$17,1,MATCH(D33,'Исходные кривые'!$B$17:$L$17,1)+1)-INDEX('Исходные кривые'!$B$17:$L$17,1,MATCH(D33,'Исходные кривые'!$B$17:$L$17,1)))))</x:f>
        <x:v>5.895205479452056</x:v>
      </x:c>
      <x:c r="J33" s="70" t="n">
        <x:f>IF(D33&lt;=MIN('Исходные кривые'!$B$17:$L$17),INDEX('Исходные кривые'!$B$19:$L$19,1,1),IF(D33&gt;=MAX('Исходные кривые'!$B$17:$L$17),INDEX('Исходные кривые'!$B$19:$L$19,1,COLUMNS('Исходные кривые'!$B$19:$L$19)),INDEX('Исходные кривые'!$B$19:$L$19,1,MATCH(D33,'Исходные кривые'!$B$17:$L$17,1))+(D33-INDEX('Исходные кривые'!$B$17:$L$17,1,MATCH(D33,'Исходные кривые'!$B$17:$L$17,1)))*(INDEX('Исходные кривые'!$B$19:$L$19,1,MATCH(D33,'Исходные кривые'!$B$17:$L$17,1)+1)-INDEX('Исходные кривые'!$B$19:$L$19,1,MATCH(D33,'Исходные кривые'!$B$17:$L$17,1)))/(INDEX('Исходные кривые'!$B$17:$L$17,1,MATCH(D33,'Исходные кривые'!$B$17:$L$17,1)+1)-INDEX('Исходные кривые'!$B$17:$L$17,1,MATCH(D33,'Исходные кривые'!$B$17:$L$17,1)))))</x:f>
        <x:v>-2.527260273972603</x:v>
      </x:c>
    </x:row>
    <x:row r="34">
      <x:c r="A34" s="47" t="str">
        <x:v>Новый набор — изображение 2</x:v>
      </x:c>
      <x:c r="B34" s="48" t="n">
        <x:v>47879</x:v>
      </x:c>
      <x:c r="C34" s="69" t="n">
        <x:f>B34-'Настройки'!$B$4</x:f>
        <x:v>1676</x:v>
      </x:c>
      <x:c r="D34" s="70" t="n">
        <x:f>C34/'Настройки'!$B$5</x:f>
        <x:v>4.5917808219178085</x:v>
      </x:c>
      <x:c r="E34" s="70" t="n">
        <x:f>IF(D34&lt;=MIN('Исходные кривые'!$B$4:$L$4),INDEX('Исходные кривые'!$B$5:$L$5,1,1),IF(D34&gt;=MAX('Исходные кривые'!$B$4:$L$4),INDEX('Исходные кривые'!$B$5:$L$5,1,COLUMNS('Исходные кривые'!$B$5:$L$5)),INDEX('Исходные кривые'!$B$5:$L$5,1,MATCH(D34,'Исходные кривые'!$B$4:$L$4,1))+(D34-INDEX('Исходные кривые'!$B$4:$L$4,1,MATCH(D34,'Исходные кривые'!$B$4:$L$4,1)))*(INDEX('Исходные кривые'!$B$5:$L$5,1,MATCH(D34,'Исходные кривые'!$B$4:$L$4,1)+1)-INDEX('Исходные кривые'!$B$5:$L$5,1,MATCH(D34,'Исходные кривые'!$B$4:$L$4,1)))/(INDEX('Исходные кривые'!$B$4:$L$4,1,MATCH(D34,'Исходные кривые'!$B$4:$L$4,1)+1)-INDEX('Исходные кривые'!$B$4:$L$4,1,MATCH(D34,'Исходные кривые'!$B$4:$L$4,1)))))</x:f>
        <x:v>15.22609589041096</x:v>
      </x:c>
      <x:c r="F34" s="70" t="n">
        <x:f>IF(D34&lt;=MIN('Исходные кривые'!$B$8:$N$8),INDEX('Исходные кривые'!$B$9:$N$9,1,1),IF(D34&gt;=MAX('Исходные кривые'!$B$8:$N$8),INDEX('Исходные кривые'!$B$9:$N$9,1,COLUMNS('Исходные кривые'!$B$9:$N$9)),INDEX('Исходные кривые'!$B$9:$N$9,1,MATCH(D34,'Исходные кривые'!$B$8:$N$8,1))+(D34-INDEX('Исходные кривые'!$B$8:$N$8,1,MATCH(D34,'Исходные кривые'!$B$8:$N$8,1)))*(INDEX('Исходные кривые'!$B$9:$N$9,1,MATCH(D34,'Исходные кривые'!$B$8:$N$8,1)+1)-INDEX('Исходные кривые'!$B$9:$N$9,1,MATCH(D34,'Исходные кривые'!$B$8:$N$8,1)))/(INDEX('Исходные кривые'!$B$8:$N$8,1,MATCH(D34,'Исходные кривые'!$B$8:$N$8,1)+1)-INDEX('Исходные кривые'!$B$8:$N$8,1,MATCH(D34,'Исходные кривые'!$B$8:$N$8,1)))))</x:f>
        <x:v>17.22609589041096</x:v>
      </x:c>
      <x:c r="G34" s="70" t="n">
        <x:f>IF(D34&lt;=MIN('Исходные кривые'!$B$12:$K$12),INDEX('Исходные кривые'!$B$13:$K$13,1,1),IF(D34&gt;=MAX('Исходные кривые'!$B$12:$K$12),INDEX('Исходные кривые'!$B$13:$K$13,1,COLUMNS('Исходные кривые'!$B$13:$K$13)),INDEX('Исходные кривые'!$B$13:$K$13,1,MATCH(D34,'Исходные кривые'!$B$12:$K$12,1))+(D34-INDEX('Исходные кривые'!$B$12:$K$12,1,MATCH(D34,'Исходные кривые'!$B$12:$K$12,1)))*(INDEX('Исходные кривые'!$B$13:$K$13,1,MATCH(D34,'Исходные кривые'!$B$12:$K$12,1)+1)-INDEX('Исходные кривые'!$B$13:$K$13,1,MATCH(D34,'Исходные кривые'!$B$12:$K$12,1)))/(INDEX('Исходные кривые'!$B$12:$K$12,1,MATCH(D34,'Исходные кривые'!$B$12:$K$12,1)+1)-INDEX('Исходные кривые'!$B$12:$K$12,1,MATCH(D34,'Исходные кривые'!$B$12:$K$12,1)))))</x:f>
        <x:v>49.224657534246575</x:v>
      </x:c>
      <x:c r="H34" s="70" t="n">
        <x:f>IF(D34&lt;=MIN('Исходные кривые'!$B$12:$K$12),INDEX('Исходные кривые'!$B$14:$K$14,1,1),IF(D34&gt;=MAX('Исходные кривые'!$B$12:$K$12),INDEX('Исходные кривые'!$B$14:$K$14,1,COLUMNS('Исходные кривые'!$B$14:$K$14)),INDEX('Исходные кривые'!$B$14:$K$14,1,MATCH(D34,'Исходные кривые'!$B$12:$K$12,1))+(D34-INDEX('Исходные кривые'!$B$12:$K$12,1,MATCH(D34,'Исходные кривые'!$B$12:$K$12,1)))*(INDEX('Исходные кривые'!$B$14:$K$14,1,MATCH(D34,'Исходные кривые'!$B$12:$K$12,1)+1)-INDEX('Исходные кривые'!$B$14:$K$14,1,MATCH(D34,'Исходные кривые'!$B$12:$K$12,1)))/(INDEX('Исходные кривые'!$B$12:$K$12,1,MATCH(D34,'Исходные кривые'!$B$12:$K$12,1)+1)-INDEX('Исходные кривые'!$B$12:$K$12,1,MATCH(D34,'Исходные кривые'!$B$12:$K$12,1)))))</x:f>
        <x:v>-27.204109589041096</x:v>
      </x:c>
      <x:c r="I34" s="70" t="n">
        <x:f>IF(D34&lt;=MIN('Исходные кривые'!$B$17:$L$17),INDEX('Исходные кривые'!$B$18:$L$18,1,1),IF(D34&gt;=MAX('Исходные кривые'!$B$17:$L$17),INDEX('Исходные кривые'!$B$18:$L$18,1,COLUMNS('Исходные кривые'!$B$18:$L$18)),INDEX('Исходные кривые'!$B$18:$L$18,1,MATCH(D34,'Исходные кривые'!$B$17:$L$17,1))+(D34-INDEX('Исходные кривые'!$B$17:$L$17,1,MATCH(D34,'Исходные кривые'!$B$17:$L$17,1)))*(INDEX('Исходные кривые'!$B$18:$L$18,1,MATCH(D34,'Исходные кривые'!$B$17:$L$17,1)+1)-INDEX('Исходные кривые'!$B$18:$L$18,1,MATCH(D34,'Исходные кривые'!$B$17:$L$17,1)))/(INDEX('Исходные кривые'!$B$17:$L$17,1,MATCH(D34,'Исходные кривые'!$B$17:$L$17,1)+1)-INDEX('Исходные кривые'!$B$17:$L$17,1,MATCH(D34,'Исходные кривые'!$B$17:$L$17,1)))))</x:f>
        <x:v>5.706164383561644</x:v>
      </x:c>
      <x:c r="J34" s="70" t="n">
        <x:f>IF(D34&lt;=MIN('Исходные кривые'!$B$17:$L$17),INDEX('Исходные кривые'!$B$19:$L$19,1,1),IF(D34&gt;=MAX('Исходные кривые'!$B$17:$L$17),INDEX('Исходные кривые'!$B$19:$L$19,1,COLUMNS('Исходные кривые'!$B$19:$L$19)),INDEX('Исходные кривые'!$B$19:$L$19,1,MATCH(D34,'Исходные кривые'!$B$17:$L$17,1))+(D34-INDEX('Исходные кривые'!$B$17:$L$17,1,MATCH(D34,'Исходные кривые'!$B$17:$L$17,1)))*(INDEX('Исходные кривые'!$B$19:$L$19,1,MATCH(D34,'Исходные кривые'!$B$17:$L$17,1)+1)-INDEX('Исходные кривые'!$B$19:$L$19,1,MATCH(D34,'Исходные кривые'!$B$17:$L$17,1)))/(INDEX('Исходные кривые'!$B$17:$L$17,1,MATCH(D34,'Исходные кривые'!$B$17:$L$17,1)+1)-INDEX('Исходные кривые'!$B$17:$L$17,1,MATCH(D34,'Исходные кривые'!$B$17:$L$17,1)))))</x:f>
        <x:v>-2.287808219178082</x:v>
      </x:c>
    </x:row>
    <x:row r="35">
      <x:c r="A35" s="47" t="str">
        <x:v>Новый набор — изображение 2</x:v>
      </x:c>
      <x:c r="B35" s="48" t="n">
        <x:v>47970</x:v>
      </x:c>
      <x:c r="C35" s="69" t="n">
        <x:f>B35-'Настройки'!$B$4</x:f>
        <x:v>1767</x:v>
      </x:c>
      <x:c r="D35" s="70" t="n">
        <x:f>C35/'Настройки'!$B$5</x:f>
        <x:v>4.841095890410959</x:v>
      </x:c>
      <x:c r="E35" s="70" t="n">
        <x:f>IF(D35&lt;=MIN('Исходные кривые'!$B$4:$L$4),INDEX('Исходные кривые'!$B$5:$L$5,1,1),IF(D35&gt;=MAX('Исходные кривые'!$B$4:$L$4),INDEX('Исходные кривые'!$B$5:$L$5,1,COLUMNS('Исходные кривые'!$B$5:$L$5)),INDEX('Исходные кривые'!$B$5:$L$5,1,MATCH(D35,'Исходные кривые'!$B$4:$L$4,1))+(D35-INDEX('Исходные кривые'!$B$4:$L$4,1,MATCH(D35,'Исходные кривые'!$B$4:$L$4,1)))*(INDEX('Исходные кривые'!$B$5:$L$5,1,MATCH(D35,'Исходные кривые'!$B$4:$L$4,1)+1)-INDEX('Исходные кривые'!$B$5:$L$5,1,MATCH(D35,'Исходные кривые'!$B$4:$L$4,1)))/(INDEX('Исходные кривые'!$B$4:$L$4,1,MATCH(D35,'Исходные кривые'!$B$4:$L$4,1)+1)-INDEX('Исходные кривые'!$B$4:$L$4,1,MATCH(D35,'Исходные кривые'!$B$4:$L$4,1)))))</x:f>
        <x:v>15.344520547945205</x:v>
      </x:c>
      <x:c r="F35" s="70" t="n">
        <x:f>IF(D35&lt;=MIN('Исходные кривые'!$B$8:$N$8),INDEX('Исходные кривые'!$B$9:$N$9,1,1),IF(D35&gt;=MAX('Исходные кривые'!$B$8:$N$8),INDEX('Исходные кривые'!$B$9:$N$9,1,COLUMNS('Исходные кривые'!$B$9:$N$9)),INDEX('Исходные кривые'!$B$9:$N$9,1,MATCH(D35,'Исходные кривые'!$B$8:$N$8,1))+(D35-INDEX('Исходные кривые'!$B$8:$N$8,1,MATCH(D35,'Исходные кривые'!$B$8:$N$8,1)))*(INDEX('Исходные кривые'!$B$9:$N$9,1,MATCH(D35,'Исходные кривые'!$B$8:$N$8,1)+1)-INDEX('Исходные кривые'!$B$9:$N$9,1,MATCH(D35,'Исходные кривые'!$B$8:$N$8,1)))/(INDEX('Исходные кривые'!$B$8:$N$8,1,MATCH(D35,'Исходные кривые'!$B$8:$N$8,1)+1)-INDEX('Исходные кривые'!$B$8:$N$8,1,MATCH(D35,'Исходные кривые'!$B$8:$N$8,1)))))</x:f>
        <x:v>17.34452054794521</x:v>
      </x:c>
      <x:c r="G35" s="70" t="n">
        <x:f>IF(D35&lt;=MIN('Исходные кривые'!$B$12:$K$12),INDEX('Исходные кривые'!$B$13:$K$13,1,1),IF(D35&gt;=MAX('Исходные кривые'!$B$12:$K$12),INDEX('Исходные кривые'!$B$13:$K$13,1,COLUMNS('Исходные кривые'!$B$13:$K$13)),INDEX('Исходные кривые'!$B$13:$K$13,1,MATCH(D35,'Исходные кривые'!$B$12:$K$12,1))+(D35-INDEX('Исходные кривые'!$B$12:$K$12,1,MATCH(D35,'Исходные кривые'!$B$12:$K$12,1)))*(INDEX('Исходные кривые'!$B$13:$K$13,1,MATCH(D35,'Исходные кривые'!$B$12:$K$12,1)+1)-INDEX('Исходные кривые'!$B$13:$K$13,1,MATCH(D35,'Исходные кривые'!$B$12:$K$12,1)))/(INDEX('Исходные кривые'!$B$12:$K$12,1,MATCH(D35,'Исходные кривые'!$B$12:$K$12,1)+1)-INDEX('Исходные кривые'!$B$12:$K$12,1,MATCH(D35,'Исходные кривые'!$B$12:$K$12,1)))))</x:f>
        <x:v>48.47671232876712</x:v>
      </x:c>
      <x:c r="H35" s="70" t="n">
        <x:f>IF(D35&lt;=MIN('Исходные кривые'!$B$12:$K$12),INDEX('Исходные кривые'!$B$14:$K$14,1,1),IF(D35&gt;=MAX('Исходные кривые'!$B$12:$K$12),INDEX('Исходные кривые'!$B$14:$K$14,1,COLUMNS('Исходные кривые'!$B$14:$K$14)),INDEX('Исходные кривые'!$B$14:$K$14,1,MATCH(D35,'Исходные кривые'!$B$12:$K$12,1))+(D35-INDEX('Исходные кривые'!$B$12:$K$12,1,MATCH(D35,'Исходные кривые'!$B$12:$K$12,1)))*(INDEX('Исходные кривые'!$B$14:$K$14,1,MATCH(D35,'Исходные кривые'!$B$12:$K$12,1)+1)-INDEX('Исходные кривые'!$B$14:$K$14,1,MATCH(D35,'Исходные кривые'!$B$12:$K$12,1)))/(INDEX('Исходные кривые'!$B$12:$K$12,1,MATCH(D35,'Исходные кривые'!$B$12:$K$12,1)+1)-INDEX('Исходные кривые'!$B$12:$K$12,1,MATCH(D35,'Исходные кривые'!$B$12:$K$12,1)))))</x:f>
        <x:v>-27.07945205479452</x:v>
      </x:c>
      <x:c r="I35" s="70" t="n">
        <x:f>IF(D35&lt;=MIN('Исходные кривые'!$B$17:$L$17),INDEX('Исходные кривые'!$B$18:$L$18,1,1),IF(D35&gt;=MAX('Исходные кривые'!$B$17:$L$17),INDEX('Исходные кривые'!$B$18:$L$18,1,COLUMNS('Исходные кривые'!$B$18:$L$18)),INDEX('Исходные кривые'!$B$18:$L$18,1,MATCH(D35,'Исходные кривые'!$B$17:$L$17,1))+(D35-INDEX('Исходные кривые'!$B$17:$L$17,1,MATCH(D35,'Исходные кривые'!$B$17:$L$17,1)))*(INDEX('Исходные кривые'!$B$18:$L$18,1,MATCH(D35,'Исходные кривые'!$B$17:$L$17,1)+1)-INDEX('Исходные кривые'!$B$18:$L$18,1,MATCH(D35,'Исходные кривые'!$B$17:$L$17,1)))/(INDEX('Исходные кривые'!$B$17:$L$17,1,MATCH(D35,'Исходные кривые'!$B$17:$L$17,1)+1)-INDEX('Исходные кривые'!$B$17:$L$17,1,MATCH(D35,'Исходные кривые'!$B$17:$L$17,1)))))</x:f>
        <x:v>5.519178082191781</x:v>
      </x:c>
      <x:c r="J35" s="70" t="n">
        <x:f>IF(D35&lt;=MIN('Исходные кривые'!$B$17:$L$17),INDEX('Исходные кривые'!$B$19:$L$19,1,1),IF(D35&gt;=MAX('Исходные кривые'!$B$17:$L$17),INDEX('Исходные кривые'!$B$19:$L$19,1,COLUMNS('Исходные кривые'!$B$19:$L$19)),INDEX('Исходные кривые'!$B$19:$L$19,1,MATCH(D35,'Исходные кривые'!$B$17:$L$17,1))+(D35-INDEX('Исходные кривые'!$B$17:$L$17,1,MATCH(D35,'Исходные кривые'!$B$17:$L$17,1)))*(INDEX('Исходные кривые'!$B$19:$L$19,1,MATCH(D35,'Исходные кривые'!$B$17:$L$17,1)+1)-INDEX('Исходные кривые'!$B$19:$L$19,1,MATCH(D35,'Исходные кривые'!$B$17:$L$17,1)))/(INDEX('Исходные кривые'!$B$17:$L$17,1,MATCH(D35,'Исходные кривые'!$B$17:$L$17,1)+1)-INDEX('Исходные кривые'!$B$17:$L$17,1,MATCH(D35,'Исходные кривые'!$B$17:$L$17,1)))))</x:f>
        <x:v>-2.0509589041095886</x:v>
      </x:c>
    </x:row>
    <x:row r="36">
      <x:c r="A36" s="47" t="str">
        <x:v>Новый набор — изображение 2</x:v>
      </x:c>
      <x:c r="B36" s="48" t="n">
        <x:v>48060</x:v>
      </x:c>
      <x:c r="C36" s="69" t="n">
        <x:f>B36-'Настройки'!$B$4</x:f>
        <x:v>1857</x:v>
      </x:c>
      <x:c r="D36" s="70" t="n">
        <x:f>C36/'Настройки'!$B$5</x:f>
        <x:v>5.087671232876712</x:v>
      </x:c>
      <x:c r="E36" s="70" t="n">
        <x:f>IF(D36&lt;=MIN('Исходные кривые'!$B$4:$L$4),INDEX('Исходные кривые'!$B$5:$L$5,1,1),IF(D36&gt;=MAX('Исходные кривые'!$B$4:$L$4),INDEX('Исходные кривые'!$B$5:$L$5,1,COLUMNS('Исходные кривые'!$B$5:$L$5)),INDEX('Исходные кривые'!$B$5:$L$5,1,MATCH(D36,'Исходные кривые'!$B$4:$L$4,1))+(D36-INDEX('Исходные кривые'!$B$4:$L$4,1,MATCH(D36,'Исходные кривые'!$B$4:$L$4,1)))*(INDEX('Исходные кривые'!$B$5:$L$5,1,MATCH(D36,'Исходные кривые'!$B$4:$L$4,1)+1)-INDEX('Исходные кривые'!$B$5:$L$5,1,MATCH(D36,'Исходные кривые'!$B$4:$L$4,1)))/(INDEX('Исходные кривые'!$B$4:$L$4,1,MATCH(D36,'Исходные кривые'!$B$4:$L$4,1)+1)-INDEX('Исходные кривые'!$B$4:$L$4,1,MATCH(D36,'Исходные кривые'!$B$4:$L$4,1)))))</x:f>
        <x:v>15.44454794520548</x:v>
      </x:c>
      <x:c r="F36" s="70" t="n">
        <x:f>IF(D36&lt;=MIN('Исходные кривые'!$B$8:$N$8),INDEX('Исходные кривые'!$B$9:$N$9,1,1),IF(D36&gt;=MAX('Исходные кривые'!$B$8:$N$8),INDEX('Исходные кривые'!$B$9:$N$9,1,COLUMNS('Исходные кривые'!$B$9:$N$9)),INDEX('Исходные кривые'!$B$9:$N$9,1,MATCH(D36,'Исходные кривые'!$B$8:$N$8,1))+(D36-INDEX('Исходные кривые'!$B$8:$N$8,1,MATCH(D36,'Исходные кривые'!$B$8:$N$8,1)))*(INDEX('Исходные кривые'!$B$9:$N$9,1,MATCH(D36,'Исходные кривые'!$B$8:$N$8,1)+1)-INDEX('Исходные кривые'!$B$9:$N$9,1,MATCH(D36,'Исходные кривые'!$B$8:$N$8,1)))/(INDEX('Исходные кривые'!$B$8:$N$8,1,MATCH(D36,'Исходные кривые'!$B$8:$N$8,1)+1)-INDEX('Исходные кривые'!$B$8:$N$8,1,MATCH(D36,'Исходные кривые'!$B$8:$N$8,1)))))</x:f>
        <x:v>17.444547945205482</x:v>
      </x:c>
      <x:c r="G36" s="70" t="n">
        <x:f>IF(D36&lt;=MIN('Исходные кривые'!$B$12:$K$12),INDEX('Исходные кривые'!$B$13:$K$13,1,1),IF(D36&gt;=MAX('Исходные кривые'!$B$12:$K$12),INDEX('Исходные кривые'!$B$13:$K$13,1,COLUMNS('Исходные кривые'!$B$13:$K$13)),INDEX('Исходные кривые'!$B$13:$K$13,1,MATCH(D36,'Исходные кривые'!$B$12:$K$12,1))+(D36-INDEX('Исходные кривые'!$B$12:$K$12,1,MATCH(D36,'Исходные кривые'!$B$12:$K$12,1)))*(INDEX('Исходные кривые'!$B$13:$K$13,1,MATCH(D36,'Исходные кривые'!$B$12:$K$12,1)+1)-INDEX('Исходные кривые'!$B$13:$K$13,1,MATCH(D36,'Исходные кривые'!$B$12:$K$12,1)))/(INDEX('Исходные кривые'!$B$12:$K$12,1,MATCH(D36,'Исходные кривые'!$B$12:$K$12,1)+1)-INDEX('Исходные кривые'!$B$12:$K$12,1,MATCH(D36,'Исходные кривые'!$B$12:$K$12,1)))))</x:f>
        <x:v>47.73698630136987</x:v>
      </x:c>
      <x:c r="H36" s="70" t="n">
        <x:f>IF(D36&lt;=MIN('Исходные кривые'!$B$12:$K$12),INDEX('Исходные кривые'!$B$14:$K$14,1,1),IF(D36&gt;=MAX('Исходные кривые'!$B$12:$K$12),INDEX('Исходные кривые'!$B$14:$K$14,1,COLUMNS('Исходные кривые'!$B$14:$K$14)),INDEX('Исходные кривые'!$B$14:$K$14,1,MATCH(D36,'Исходные кривые'!$B$12:$K$12,1))+(D36-INDEX('Исходные кривые'!$B$12:$K$12,1,MATCH(D36,'Исходные кривые'!$B$12:$K$12,1)))*(INDEX('Исходные кривые'!$B$14:$K$14,1,MATCH(D36,'Исходные кривые'!$B$12:$K$12,1)+1)-INDEX('Исходные кривые'!$B$14:$K$14,1,MATCH(D36,'Исходные кривые'!$B$12:$K$12,1)))/(INDEX('Исходные кривые'!$B$12:$K$12,1,MATCH(D36,'Исходные кривые'!$B$12:$K$12,1)+1)-INDEX('Исходные кривые'!$B$12:$K$12,1,MATCH(D36,'Исходные кривые'!$B$12:$K$12,1)))))</x:f>
        <x:v>-26.956164383561642</x:v>
      </x:c>
      <x:c r="I36" s="70" t="n">
        <x:f>IF(D36&lt;=MIN('Исходные кривые'!$B$17:$L$17),INDEX('Исходные кривые'!$B$18:$L$18,1,1),IF(D36&gt;=MAX('Исходные кривые'!$B$17:$L$17),INDEX('Исходные кривые'!$B$18:$L$18,1,COLUMNS('Исходные кривые'!$B$18:$L$18)),INDEX('Исходные кривые'!$B$18:$L$18,1,MATCH(D36,'Исходные кривые'!$B$17:$L$17,1))+(D36-INDEX('Исходные кривые'!$B$17:$L$17,1,MATCH(D36,'Исходные кривые'!$B$17:$L$17,1)))*(INDEX('Исходные кривые'!$B$18:$L$18,1,MATCH(D36,'Исходные кривые'!$B$17:$L$17,1)+1)-INDEX('Исходные кривые'!$B$18:$L$18,1,MATCH(D36,'Исходные кривые'!$B$17:$L$17,1)))/(INDEX('Исходные кривые'!$B$17:$L$17,1,MATCH(D36,'Исходные кривые'!$B$17:$L$17,1)+1)-INDEX('Исходные кривые'!$B$17:$L$17,1,MATCH(D36,'Исходные кривые'!$B$17:$L$17,1)))))</x:f>
        <x:v>5.4</x:v>
      </x:c>
      <x:c r="J36" s="70" t="n">
        <x:f>IF(D36&lt;=MIN('Исходные кривые'!$B$17:$L$17),INDEX('Исходные кривые'!$B$19:$L$19,1,1),IF(D36&gt;=MAX('Исходные кривые'!$B$17:$L$17),INDEX('Исходные кривые'!$B$19:$L$19,1,COLUMNS('Исходные кривые'!$B$19:$L$19)),INDEX('Исходные кривые'!$B$19:$L$19,1,MATCH(D36,'Исходные кривые'!$B$17:$L$17,1))+(D36-INDEX('Исходные кривые'!$B$17:$L$17,1,MATCH(D36,'Исходные кривые'!$B$17:$L$17,1)))*(INDEX('Исходные кривые'!$B$19:$L$19,1,MATCH(D36,'Исходные кривые'!$B$17:$L$17,1)+1)-INDEX('Исходные кривые'!$B$19:$L$19,1,MATCH(D36,'Исходные кривые'!$B$17:$L$17,1)))/(INDEX('Исходные кривые'!$B$17:$L$17,1,MATCH(D36,'Исходные кривые'!$B$17:$L$17,1)+1)-INDEX('Исходные кривые'!$B$17:$L$17,1,MATCH(D36,'Исходные кривые'!$B$17:$L$17,1)))))</x:f>
        <x:v>-1.9</x:v>
      </x:c>
    </x:row>
    <x:row r="37">
      <x:c r="A37" s="47" t="str">
        <x:v>Новый набор — изображение 2</x:v>
      </x:c>
      <x:c r="B37" s="48" t="n">
        <x:v>48152</x:v>
      </x:c>
      <x:c r="C37" s="69" t="n">
        <x:f>B37-'Настройки'!$B$4</x:f>
        <x:v>1949</x:v>
      </x:c>
      <x:c r="D37" s="70" t="n">
        <x:f>C37/'Настройки'!$B$5</x:f>
        <x:v>5.33972602739726</x:v>
      </x:c>
      <x:c r="E37" s="70" t="n">
        <x:f>IF(D37&lt;=MIN('Исходные кривые'!$B$4:$L$4),INDEX('Исходные кривые'!$B$5:$L$5,1,1),IF(D37&gt;=MAX('Исходные кривые'!$B$4:$L$4),INDEX('Исходные кривые'!$B$5:$L$5,1,COLUMNS('Исходные кривые'!$B$5:$L$5)),INDEX('Исходные кривые'!$B$5:$L$5,1,MATCH(D37,'Исходные кривые'!$B$4:$L$4,1))+(D37-INDEX('Исходные кривые'!$B$4:$L$4,1,MATCH(D37,'Исходные кривые'!$B$4:$L$4,1)))*(INDEX('Исходные кривые'!$B$5:$L$5,1,MATCH(D37,'Исходные кривые'!$B$4:$L$4,1)+1)-INDEX('Исходные кривые'!$B$5:$L$5,1,MATCH(D37,'Исходные кривые'!$B$4:$L$4,1)))/(INDEX('Исходные кривые'!$B$4:$L$4,1,MATCH(D37,'Исходные кривые'!$B$4:$L$4,1)+1)-INDEX('Исходные кривые'!$B$4:$L$4,1,MATCH(D37,'Исходные кривые'!$B$4:$L$4,1)))))</x:f>
        <x:v>15.515123287671233</x:v>
      </x:c>
      <x:c r="F37" s="70" t="n">
        <x:f>IF(D37&lt;=MIN('Исходные кривые'!$B$8:$N$8),INDEX('Исходные кривые'!$B$9:$N$9,1,1),IF(D37&gt;=MAX('Исходные кривые'!$B$8:$N$8),INDEX('Исходные кривые'!$B$9:$N$9,1,COLUMNS('Исходные кривые'!$B$9:$N$9)),INDEX('Исходные кривые'!$B$9:$N$9,1,MATCH(D37,'Исходные кривые'!$B$8:$N$8,1))+(D37-INDEX('Исходные кривые'!$B$8:$N$8,1,MATCH(D37,'Исходные кривые'!$B$8:$N$8,1)))*(INDEX('Исходные кривые'!$B$9:$N$9,1,MATCH(D37,'Исходные кривые'!$B$8:$N$8,1)+1)-INDEX('Исходные кривые'!$B$9:$N$9,1,MATCH(D37,'Исходные кривые'!$B$8:$N$8,1)))/(INDEX('Исходные кривые'!$B$8:$N$8,1,MATCH(D37,'Исходные кривые'!$B$8:$N$8,1)+1)-INDEX('Исходные кривые'!$B$8:$N$8,1,MATCH(D37,'Исходные кривые'!$B$8:$N$8,1)))))</x:f>
        <x:v>17.515123287671233</x:v>
      </x:c>
      <x:c r="G37" s="70" t="n">
        <x:f>IF(D37&lt;=MIN('Исходные кривые'!$B$12:$K$12),INDEX('Исходные кривые'!$B$13:$K$13,1,1),IF(D37&gt;=MAX('Исходные кривые'!$B$12:$K$12),INDEX('Исходные кривые'!$B$13:$K$13,1,COLUMNS('Исходные кривые'!$B$13:$K$13)),INDEX('Исходные кривые'!$B$13:$K$13,1,MATCH(D37,'Исходные кривые'!$B$12:$K$12,1))+(D37-INDEX('Исходные кривые'!$B$12:$K$12,1,MATCH(D37,'Исходные кривые'!$B$12:$K$12,1)))*(INDEX('Исходные кривые'!$B$13:$K$13,1,MATCH(D37,'Исходные кривые'!$B$12:$K$12,1)+1)-INDEX('Исходные кривые'!$B$13:$K$13,1,MATCH(D37,'Исходные кривые'!$B$12:$K$12,1)))/(INDEX('Исходные кривые'!$B$12:$K$12,1,MATCH(D37,'Исходные кривые'!$B$12:$K$12,1)+1)-INDEX('Исходные кривые'!$B$12:$K$12,1,MATCH(D37,'Исходные кривые'!$B$12:$K$12,1)))))</x:f>
        <x:v>46.98082191780822</x:v>
      </x:c>
      <x:c r="H37" s="70" t="n">
        <x:f>IF(D37&lt;=MIN('Исходные кривые'!$B$12:$K$12),INDEX('Исходные кривые'!$B$14:$K$14,1,1),IF(D37&gt;=MAX('Исходные кривые'!$B$12:$K$12),INDEX('Исходные кривые'!$B$14:$K$14,1,COLUMNS('Исходные кривые'!$B$14:$K$14)),INDEX('Исходные кривые'!$B$14:$K$14,1,MATCH(D37,'Исходные кривые'!$B$12:$K$12,1))+(D37-INDEX('Исходные кривые'!$B$12:$K$12,1,MATCH(D37,'Исходные кривые'!$B$12:$K$12,1)))*(INDEX('Исходные кривые'!$B$14:$K$14,1,MATCH(D37,'Исходные кривые'!$B$12:$K$12,1)+1)-INDEX('Исходные кривые'!$B$14:$K$14,1,MATCH(D37,'Исходные кривые'!$B$12:$K$12,1)))/(INDEX('Исходные кривые'!$B$12:$K$12,1,MATCH(D37,'Исходные кривые'!$B$12:$K$12,1)+1)-INDEX('Исходные кривые'!$B$12:$K$12,1,MATCH(D37,'Исходные кривые'!$B$12:$K$12,1)))))</x:f>
        <x:v>-26.83013698630137</x:v>
      </x:c>
      <x:c r="I37" s="70" t="n">
        <x:f>IF(D37&lt;=MIN('Исходные кривые'!$B$17:$L$17),INDEX('Исходные кривые'!$B$18:$L$18,1,1),IF(D37&gt;=MAX('Исходные кривые'!$B$17:$L$17),INDEX('Исходные кривые'!$B$18:$L$18,1,COLUMNS('Исходные кривые'!$B$18:$L$18)),INDEX('Исходные кривые'!$B$18:$L$18,1,MATCH(D37,'Исходные кривые'!$B$17:$L$17,1))+(D37-INDEX('Исходные кривые'!$B$17:$L$17,1,MATCH(D37,'Исходные кривые'!$B$17:$L$17,1)))*(INDEX('Исходные кривые'!$B$18:$L$18,1,MATCH(D37,'Исходные кривые'!$B$17:$L$17,1)+1)-INDEX('Исходные кривые'!$B$18:$L$18,1,MATCH(D37,'Исходные кривые'!$B$17:$L$17,1)))/(INDEX('Исходные кривые'!$B$17:$L$17,1,MATCH(D37,'Исходные кривые'!$B$17:$L$17,1)+1)-INDEX('Исходные кривые'!$B$17:$L$17,1,MATCH(D37,'Исходные кривые'!$B$17:$L$17,1)))))</x:f>
        <x:v>5.4</x:v>
      </x:c>
      <x:c r="J37" s="70" t="n">
        <x:f>IF(D37&lt;=MIN('Исходные кривые'!$B$17:$L$17),INDEX('Исходные кривые'!$B$19:$L$19,1,1),IF(D37&gt;=MAX('Исходные кривые'!$B$17:$L$17),INDEX('Исходные кривые'!$B$19:$L$19,1,COLUMNS('Исходные кривые'!$B$19:$L$19)),INDEX('Исходные кривые'!$B$19:$L$19,1,MATCH(D37,'Исходные кривые'!$B$17:$L$17,1))+(D37-INDEX('Исходные кривые'!$B$17:$L$17,1,MATCH(D37,'Исходные кривые'!$B$17:$L$17,1)))*(INDEX('Исходные кривые'!$B$19:$L$19,1,MATCH(D37,'Исходные кривые'!$B$17:$L$17,1)+1)-INDEX('Исходные кривые'!$B$19:$L$19,1,MATCH(D37,'Исходные кривые'!$B$17:$L$17,1)))/(INDEX('Исходные кривые'!$B$17:$L$17,1,MATCH(D37,'Исходные кривые'!$B$17:$L$17,1)+1)-INDEX('Исходные кривые'!$B$17:$L$17,1,MATCH(D37,'Исходные кривые'!$B$17:$L$17,1)))))</x:f>
        <x:v>-1.9</x:v>
      </x:c>
    </x:row>
    <x:row r="38">
      <x:c r="A38" s="47" t="str">
        <x:v>Новый набор — изображение 2</x:v>
      </x:c>
      <x:c r="B38" s="48" t="n">
        <x:v>48244</x:v>
      </x:c>
      <x:c r="C38" s="69" t="n">
        <x:f>B38-'Настройки'!$B$4</x:f>
        <x:v>2041</x:v>
      </x:c>
      <x:c r="D38" s="70" t="n">
        <x:f>C38/'Настройки'!$B$5</x:f>
        <x:v>5.5917808219178085</x:v>
      </x:c>
      <x:c r="E38" s="70" t="n">
        <x:f>IF(D38&lt;=MIN('Исходные кривые'!$B$4:$L$4),INDEX('Исходные кривые'!$B$5:$L$5,1,1),IF(D38&gt;=MAX('Исходные кривые'!$B$4:$L$4),INDEX('Исходные кривые'!$B$5:$L$5,1,COLUMNS('Исходные кривые'!$B$5:$L$5)),INDEX('Исходные кривые'!$B$5:$L$5,1,MATCH(D38,'Исходные кривые'!$B$4:$L$4,1))+(D38-INDEX('Исходные кривые'!$B$4:$L$4,1,MATCH(D38,'Исходные кривые'!$B$4:$L$4,1)))*(INDEX('Исходные кривые'!$B$5:$L$5,1,MATCH(D38,'Исходные кривые'!$B$4:$L$4,1)+1)-INDEX('Исходные кривые'!$B$5:$L$5,1,MATCH(D38,'Исходные кривые'!$B$4:$L$4,1)))/(INDEX('Исходные кривые'!$B$4:$L$4,1,MATCH(D38,'Исходные кривые'!$B$4:$L$4,1)+1)-INDEX('Исходные кривые'!$B$4:$L$4,1,MATCH(D38,'Исходные кривые'!$B$4:$L$4,1)))))</x:f>
        <x:v>15.585698630136987</x:v>
      </x:c>
      <x:c r="F38" s="70" t="n">
        <x:f>IF(D38&lt;=MIN('Исходные кривые'!$B$8:$N$8),INDEX('Исходные кривые'!$B$9:$N$9,1,1),IF(D38&gt;=MAX('Исходные кривые'!$B$8:$N$8),INDEX('Исходные кривые'!$B$9:$N$9,1,COLUMNS('Исходные кривые'!$B$9:$N$9)),INDEX('Исходные кривые'!$B$9:$N$9,1,MATCH(D38,'Исходные кривые'!$B$8:$N$8,1))+(D38-INDEX('Исходные кривые'!$B$8:$N$8,1,MATCH(D38,'Исходные кривые'!$B$8:$N$8,1)))*(INDEX('Исходные кривые'!$B$9:$N$9,1,MATCH(D38,'Исходные кривые'!$B$8:$N$8,1)+1)-INDEX('Исходные кривые'!$B$9:$N$9,1,MATCH(D38,'Исходные кривые'!$B$8:$N$8,1)))/(INDEX('Исходные кривые'!$B$8:$N$8,1,MATCH(D38,'Исходные кривые'!$B$8:$N$8,1)+1)-INDEX('Исходные кривые'!$B$8:$N$8,1,MATCH(D38,'Исходные кривые'!$B$8:$N$8,1)))))</x:f>
        <x:v>17.58569863013699</x:v>
      </x:c>
      <x:c r="G38" s="70" t="n">
        <x:f>IF(D38&lt;=MIN('Исходные кривые'!$B$12:$K$12),INDEX('Исходные кривые'!$B$13:$K$13,1,1),IF(D38&gt;=MAX('Исходные кривые'!$B$12:$K$12),INDEX('Исходные кривые'!$B$13:$K$13,1,COLUMNS('Исходные кривые'!$B$13:$K$13)),INDEX('Исходные кривые'!$B$13:$K$13,1,MATCH(D38,'Исходные кривые'!$B$12:$K$12,1))+(D38-INDEX('Исходные кривые'!$B$12:$K$12,1,MATCH(D38,'Исходные кривые'!$B$12:$K$12,1)))*(INDEX('Исходные кривые'!$B$13:$K$13,1,MATCH(D38,'Исходные кривые'!$B$12:$K$12,1)+1)-INDEX('Исходные кривые'!$B$13:$K$13,1,MATCH(D38,'Исходные кривые'!$B$12:$K$12,1)))/(INDEX('Исходные кривые'!$B$12:$K$12,1,MATCH(D38,'Исходные кривые'!$B$12:$K$12,1)+1)-INDEX('Исходные кривые'!$B$12:$K$12,1,MATCH(D38,'Исходные кривые'!$B$12:$K$12,1)))))</x:f>
        <x:v>46.224657534246575</x:v>
      </x:c>
      <x:c r="H38" s="70" t="n">
        <x:f>IF(D38&lt;=MIN('Исходные кривые'!$B$12:$K$12),INDEX('Исходные кривые'!$B$14:$K$14,1,1),IF(D38&gt;=MAX('Исходные кривые'!$B$12:$K$12),INDEX('Исходные кривые'!$B$14:$K$14,1,COLUMNS('Исходные кривые'!$B$14:$K$14)),INDEX('Исходные кривые'!$B$14:$K$14,1,MATCH(D38,'Исходные кривые'!$B$12:$K$12,1))+(D38-INDEX('Исходные кривые'!$B$12:$K$12,1,MATCH(D38,'Исходные кривые'!$B$12:$K$12,1)))*(INDEX('Исходные кривые'!$B$14:$K$14,1,MATCH(D38,'Исходные кривые'!$B$12:$K$12,1)+1)-INDEX('Исходные кривые'!$B$14:$K$14,1,MATCH(D38,'Исходные кривые'!$B$12:$K$12,1)))/(INDEX('Исходные кривые'!$B$12:$K$12,1,MATCH(D38,'Исходные кривые'!$B$12:$K$12,1)+1)-INDEX('Исходные кривые'!$B$12:$K$12,1,MATCH(D38,'Исходные кривые'!$B$12:$K$12,1)))))</x:f>
        <x:v>-26.704109589041096</x:v>
      </x:c>
      <x:c r="I38" s="70" t="n">
        <x:f>IF(D38&lt;=MIN('Исходные кривые'!$B$17:$L$17),INDEX('Исходные кривые'!$B$18:$L$18,1,1),IF(D38&gt;=MAX('Исходные кривые'!$B$17:$L$17),INDEX('Исходные кривые'!$B$18:$L$18,1,COLUMNS('Исходные кривые'!$B$18:$L$18)),INDEX('Исходные кривые'!$B$18:$L$18,1,MATCH(D38,'Исходные кривые'!$B$17:$L$17,1))+(D38-INDEX('Исходные кривые'!$B$17:$L$17,1,MATCH(D38,'Исходные кривые'!$B$17:$L$17,1)))*(INDEX('Исходные кривые'!$B$18:$L$18,1,MATCH(D38,'Исходные кривые'!$B$17:$L$17,1)+1)-INDEX('Исходные кривые'!$B$18:$L$18,1,MATCH(D38,'Исходные кривые'!$B$17:$L$17,1)))/(INDEX('Исходные кривые'!$B$17:$L$17,1,MATCH(D38,'Исходные кривые'!$B$17:$L$17,1)+1)-INDEX('Исходные кривые'!$B$17:$L$17,1,MATCH(D38,'Исходные кривые'!$B$17:$L$17,1)))))</x:f>
        <x:v>5.4</x:v>
      </x:c>
      <x:c r="J38" s="70" t="n">
        <x:f>IF(D38&lt;=MIN('Исходные кривые'!$B$17:$L$17),INDEX('Исходные кривые'!$B$19:$L$19,1,1),IF(D38&gt;=MAX('Исходные кривые'!$B$17:$L$17),INDEX('Исходные кривые'!$B$19:$L$19,1,COLUMNS('Исходные кривые'!$B$19:$L$19)),INDEX('Исходные кривые'!$B$19:$L$19,1,MATCH(D38,'Исходные кривые'!$B$17:$L$17,1))+(D38-INDEX('Исходные кривые'!$B$17:$L$17,1,MATCH(D38,'Исходные кривые'!$B$17:$L$17,1)))*(INDEX('Исходные кривые'!$B$19:$L$19,1,MATCH(D38,'Исходные кривые'!$B$17:$L$17,1)+1)-INDEX('Исходные кривые'!$B$19:$L$19,1,MATCH(D38,'Исходные кривые'!$B$17:$L$17,1)))/(INDEX('Исходные кривые'!$B$17:$L$17,1,MATCH(D38,'Исходные кривые'!$B$17:$L$17,1)+1)-INDEX('Исходные кривые'!$B$17:$L$17,1,MATCH(D38,'Исходные кривые'!$B$17:$L$17,1)))))</x:f>
        <x:v>-1.9</x:v>
      </x:c>
    </x:row>
    <x:row r="39">
      <x:c r="A39" s="47" t="str">
        <x:v>Новый набор — изображение 2</x:v>
      </x:c>
      <x:c r="B39" s="48" t="n">
        <x:v>48336</x:v>
      </x:c>
      <x:c r="C39" s="69" t="n">
        <x:f>B39-'Настройки'!$B$4</x:f>
        <x:v>2133</x:v>
      </x:c>
      <x:c r="D39" s="70" t="n">
        <x:f>C39/'Настройки'!$B$5</x:f>
        <x:v>5.843835616438356</x:v>
      </x:c>
      <x:c r="E39" s="70" t="n">
        <x:f>IF(D39&lt;=MIN('Исходные кривые'!$B$4:$L$4),INDEX('Исходные кривые'!$B$5:$L$5,1,1),IF(D39&gt;=MAX('Исходные кривые'!$B$4:$L$4),INDEX('Исходные кривые'!$B$5:$L$5,1,COLUMNS('Исходные кривые'!$B$5:$L$5)),INDEX('Исходные кривые'!$B$5:$L$5,1,MATCH(D39,'Исходные кривые'!$B$4:$L$4,1))+(D39-INDEX('Исходные кривые'!$B$4:$L$4,1,MATCH(D39,'Исходные кривые'!$B$4:$L$4,1)))*(INDEX('Исходные кривые'!$B$5:$L$5,1,MATCH(D39,'Исходные кривые'!$B$4:$L$4,1)+1)-INDEX('Исходные кривые'!$B$5:$L$5,1,MATCH(D39,'Исходные кривые'!$B$4:$L$4,1)))/(INDEX('Исходные кривые'!$B$4:$L$4,1,MATCH(D39,'Исходные кривые'!$B$4:$L$4,1)+1)-INDEX('Исходные кривые'!$B$4:$L$4,1,MATCH(D39,'Исходные кривые'!$B$4:$L$4,1)))))</x:f>
        <x:v>15.65627397260274</x:v>
      </x:c>
      <x:c r="F39" s="70" t="n">
        <x:f>IF(D39&lt;=MIN('Исходные кривые'!$B$8:$N$8),INDEX('Исходные кривые'!$B$9:$N$9,1,1),IF(D39&gt;=MAX('Исходные кривые'!$B$8:$N$8),INDEX('Исходные кривые'!$B$9:$N$9,1,COLUMNS('Исходные кривые'!$B$9:$N$9)),INDEX('Исходные кривые'!$B$9:$N$9,1,MATCH(D39,'Исходные кривые'!$B$8:$N$8,1))+(D39-INDEX('Исходные кривые'!$B$8:$N$8,1,MATCH(D39,'Исходные кривые'!$B$8:$N$8,1)))*(INDEX('Исходные кривые'!$B$9:$N$9,1,MATCH(D39,'Исходные кривые'!$B$8:$N$8,1)+1)-INDEX('Исходные кривые'!$B$9:$N$9,1,MATCH(D39,'Исходные кривые'!$B$8:$N$8,1)))/(INDEX('Исходные кривые'!$B$8:$N$8,1,MATCH(D39,'Исходные кривые'!$B$8:$N$8,1)+1)-INDEX('Исходные кривые'!$B$8:$N$8,1,MATCH(D39,'Исходные кривые'!$B$8:$N$8,1)))))</x:f>
        <x:v>17.65627397260274</x:v>
      </x:c>
      <x:c r="G39" s="70" t="n">
        <x:f>IF(D39&lt;=MIN('Исходные кривые'!$B$12:$K$12),INDEX('Исходные кривые'!$B$13:$K$13,1,1),IF(D39&gt;=MAX('Исходные кривые'!$B$12:$K$12),INDEX('Исходные кривые'!$B$13:$K$13,1,COLUMNS('Исходные кривые'!$B$13:$K$13)),INDEX('Исходные кривые'!$B$13:$K$13,1,MATCH(D39,'Исходные кривые'!$B$12:$K$12,1))+(D39-INDEX('Исходные кривые'!$B$12:$K$12,1,MATCH(D39,'Исходные кривые'!$B$12:$K$12,1)))*(INDEX('Исходные кривые'!$B$13:$K$13,1,MATCH(D39,'Исходные кривые'!$B$12:$K$12,1)+1)-INDEX('Исходные кривые'!$B$13:$K$13,1,MATCH(D39,'Исходные кривые'!$B$12:$K$12,1)))/(INDEX('Исходные кривые'!$B$12:$K$12,1,MATCH(D39,'Исходные кривые'!$B$12:$K$12,1)+1)-INDEX('Исходные кривые'!$B$12:$K$12,1,MATCH(D39,'Исходные кривые'!$B$12:$K$12,1)))))</x:f>
        <x:v>45.468493150684935</x:v>
      </x:c>
      <x:c r="H39" s="70" t="n">
        <x:f>IF(D39&lt;=MIN('Исходные кривые'!$B$12:$K$12),INDEX('Исходные кривые'!$B$14:$K$14,1,1),IF(D39&gt;=MAX('Исходные кривые'!$B$12:$K$12),INDEX('Исходные кривые'!$B$14:$K$14,1,COLUMNS('Исходные кривые'!$B$14:$K$14)),INDEX('Исходные кривые'!$B$14:$K$14,1,MATCH(D39,'Исходные кривые'!$B$12:$K$12,1))+(D39-INDEX('Исходные кривые'!$B$12:$K$12,1,MATCH(D39,'Исходные кривые'!$B$12:$K$12,1)))*(INDEX('Исходные кривые'!$B$14:$K$14,1,MATCH(D39,'Исходные кривые'!$B$12:$K$12,1)+1)-INDEX('Исходные кривые'!$B$14:$K$14,1,MATCH(D39,'Исходные кривые'!$B$12:$K$12,1)))/(INDEX('Исходные кривые'!$B$12:$K$12,1,MATCH(D39,'Исходные кривые'!$B$12:$K$12,1)+1)-INDEX('Исходные кривые'!$B$12:$K$12,1,MATCH(D39,'Исходные кривые'!$B$12:$K$12,1)))))</x:f>
        <x:v>-26.578082191780823</x:v>
      </x:c>
      <x:c r="I39" s="70" t="n">
        <x:f>IF(D39&lt;=MIN('Исходные кривые'!$B$17:$L$17),INDEX('Исходные кривые'!$B$18:$L$18,1,1),IF(D39&gt;=MAX('Исходные кривые'!$B$17:$L$17),INDEX('Исходные кривые'!$B$18:$L$18,1,COLUMNS('Исходные кривые'!$B$18:$L$18)),INDEX('Исходные кривые'!$B$18:$L$18,1,MATCH(D39,'Исходные кривые'!$B$17:$L$17,1))+(D39-INDEX('Исходные кривые'!$B$17:$L$17,1,MATCH(D39,'Исходные кривые'!$B$17:$L$17,1)))*(INDEX('Исходные кривые'!$B$18:$L$18,1,MATCH(D39,'Исходные кривые'!$B$17:$L$17,1)+1)-INDEX('Исходные кривые'!$B$18:$L$18,1,MATCH(D39,'Исходные кривые'!$B$17:$L$17,1)))/(INDEX('Исходные кривые'!$B$17:$L$17,1,MATCH(D39,'Исходные кривые'!$B$17:$L$17,1)+1)-INDEX('Исходные кривые'!$B$17:$L$17,1,MATCH(D39,'Исходные кривые'!$B$17:$L$17,1)))))</x:f>
        <x:v>5.4</x:v>
      </x:c>
      <x:c r="J39" s="70" t="n">
        <x:f>IF(D39&lt;=MIN('Исходные кривые'!$B$17:$L$17),INDEX('Исходные кривые'!$B$19:$L$19,1,1),IF(D39&gt;=MAX('Исходные кривые'!$B$17:$L$17),INDEX('Исходные кривые'!$B$19:$L$19,1,COLUMNS('Исходные кривые'!$B$19:$L$19)),INDEX('Исходные кривые'!$B$19:$L$19,1,MATCH(D39,'Исходные кривые'!$B$17:$L$17,1))+(D39-INDEX('Исходные кривые'!$B$17:$L$17,1,MATCH(D39,'Исходные кривые'!$B$17:$L$17,1)))*(INDEX('Исходные кривые'!$B$19:$L$19,1,MATCH(D39,'Исходные кривые'!$B$17:$L$17,1)+1)-INDEX('Исходные кривые'!$B$19:$L$19,1,MATCH(D39,'Исходные кривые'!$B$17:$L$17,1)))/(INDEX('Исходные кривые'!$B$17:$L$17,1,MATCH(D39,'Исходные кривые'!$B$17:$L$17,1)+1)-INDEX('Исходные кривые'!$B$17:$L$17,1,MATCH(D39,'Исходные кривые'!$B$17:$L$17,1)))))</x:f>
        <x:v>-1.9</x:v>
      </x:c>
    </x:row>
    <x:row r="40">
      <x:c r="A40" s="47" t="str">
        <x:v>Новый набор — изображение 2</x:v>
      </x:c>
      <x:c r="B40" s="48" t="n">
        <x:v>48426</x:v>
      </x:c>
      <x:c r="C40" s="69" t="n">
        <x:f>B40-'Настройки'!$B$4</x:f>
        <x:v>2223</x:v>
      </x:c>
      <x:c r="D40" s="70" t="n">
        <x:f>C40/'Настройки'!$B$5</x:f>
        <x:v>6.090410958904109</x:v>
      </x:c>
      <x:c r="E40" s="70" t="n">
        <x:f>IF(D40&lt;=MIN('Исходные кривые'!$B$4:$L$4),INDEX('Исходные кривые'!$B$5:$L$5,1,1),IF(D40&gt;=MAX('Исходные кривые'!$B$4:$L$4),INDEX('Исходные кривые'!$B$5:$L$5,1,COLUMNS('Исходные кривые'!$B$5:$L$5)),INDEX('Исходные кривые'!$B$5:$L$5,1,MATCH(D40,'Исходные кривые'!$B$4:$L$4,1))+(D40-INDEX('Исходные кривые'!$B$4:$L$4,1,MATCH(D40,'Исходные кривые'!$B$4:$L$4,1)))*(INDEX('Исходные кривые'!$B$5:$L$5,1,MATCH(D40,'Исходные кривые'!$B$4:$L$4,1)+1)-INDEX('Исходные кривые'!$B$5:$L$5,1,MATCH(D40,'Исходные кривые'!$B$4:$L$4,1)))/(INDEX('Исходные кривые'!$B$4:$L$4,1,MATCH(D40,'Исходные кривые'!$B$4:$L$4,1)+1)-INDEX('Исходные кривые'!$B$4:$L$4,1,MATCH(D40,'Исходные кривые'!$B$4:$L$4,1)))))</x:f>
        <x:v>15.72531506849315</x:v>
      </x:c>
      <x:c r="F40" s="70" t="n">
        <x:f>IF(D40&lt;=MIN('Исходные кривые'!$B$8:$N$8),INDEX('Исходные кривые'!$B$9:$N$9,1,1),IF(D40&gt;=MAX('Исходные кривые'!$B$8:$N$8),INDEX('Исходные кривые'!$B$9:$N$9,1,COLUMNS('Исходные кривые'!$B$9:$N$9)),INDEX('Исходные кривые'!$B$9:$N$9,1,MATCH(D40,'Исходные кривые'!$B$8:$N$8,1))+(D40-INDEX('Исходные кривые'!$B$8:$N$8,1,MATCH(D40,'Исходные кривые'!$B$8:$N$8,1)))*(INDEX('Исходные кривые'!$B$9:$N$9,1,MATCH(D40,'Исходные кривые'!$B$8:$N$8,1)+1)-INDEX('Исходные кривые'!$B$9:$N$9,1,MATCH(D40,'Исходные кривые'!$B$8:$N$8,1)))/(INDEX('Исходные кривые'!$B$8:$N$8,1,MATCH(D40,'Исходные кривые'!$B$8:$N$8,1)+1)-INDEX('Исходные кривые'!$B$8:$N$8,1,MATCH(D40,'Исходные кривые'!$B$8:$N$8,1)))))</x:f>
        <x:v>17.725315068493153</x:v>
      </x:c>
      <x:c r="G40" s="70" t="n">
        <x:f>IF(D40&lt;=MIN('Исходные кривые'!$B$12:$K$12),INDEX('Исходные кривые'!$B$13:$K$13,1,1),IF(D40&gt;=MAX('Исходные кривые'!$B$12:$K$12),INDEX('Исходные кривые'!$B$13:$K$13,1,COLUMNS('Исходные кривые'!$B$13:$K$13)),INDEX('Исходные кривые'!$B$13:$K$13,1,MATCH(D40,'Исходные кривые'!$B$12:$K$12,1))+(D40-INDEX('Исходные кривые'!$B$12:$K$12,1,MATCH(D40,'Исходные кривые'!$B$12:$K$12,1)))*(INDEX('Исходные кривые'!$B$13:$K$13,1,MATCH(D40,'Исходные кривые'!$B$12:$K$12,1)+1)-INDEX('Исходные кривые'!$B$13:$K$13,1,MATCH(D40,'Исходные кривые'!$B$12:$K$12,1)))/(INDEX('Исходные кривые'!$B$12:$K$12,1,MATCH(D40,'Исходные кривые'!$B$12:$K$12,1)+1)-INDEX('Исходные кривые'!$B$12:$K$12,1,MATCH(D40,'Исходные кривые'!$B$12:$K$12,1)))))</x:f>
        <x:v>44.728767123287675</x:v>
      </x:c>
      <x:c r="H40" s="70" t="n">
        <x:f>IF(D40&lt;=MIN('Исходные кривые'!$B$12:$K$12),INDEX('Исходные кривые'!$B$14:$K$14,1,1),IF(D40&gt;=MAX('Исходные кривые'!$B$12:$K$12),INDEX('Исходные кривые'!$B$14:$K$14,1,COLUMNS('Исходные кривые'!$B$14:$K$14)),INDEX('Исходные кривые'!$B$14:$K$14,1,MATCH(D40,'Исходные кривые'!$B$12:$K$12,1))+(D40-INDEX('Исходные кривые'!$B$12:$K$12,1,MATCH(D40,'Исходные кривые'!$B$12:$K$12,1)))*(INDEX('Исходные кривые'!$B$14:$K$14,1,MATCH(D40,'Исходные кривые'!$B$12:$K$12,1)+1)-INDEX('Исходные кривые'!$B$14:$K$14,1,MATCH(D40,'Исходные кривые'!$B$12:$K$12,1)))/(INDEX('Исходные кривые'!$B$12:$K$12,1,MATCH(D40,'Исходные кривые'!$B$12:$K$12,1)+1)-INDEX('Исходные кривые'!$B$12:$K$12,1,MATCH(D40,'Исходные кривые'!$B$12:$K$12,1)))))</x:f>
        <x:v>-26.454794520547946</x:v>
      </x:c>
      <x:c r="I40" s="70" t="n">
        <x:f>IF(D40&lt;=MIN('Исходные кривые'!$B$17:$L$17),INDEX('Исходные кривые'!$B$18:$L$18,1,1),IF(D40&gt;=MAX('Исходные кривые'!$B$17:$L$17),INDEX('Исходные кривые'!$B$18:$L$18,1,COLUMNS('Исходные кривые'!$B$18:$L$18)),INDEX('Исходные кривые'!$B$18:$L$18,1,MATCH(D40,'Исходные кривые'!$B$17:$L$17,1))+(D40-INDEX('Исходные кривые'!$B$17:$L$17,1,MATCH(D40,'Исходные кривые'!$B$17:$L$17,1)))*(INDEX('Исходные кривые'!$B$18:$L$18,1,MATCH(D40,'Исходные кривые'!$B$17:$L$17,1)+1)-INDEX('Исходные кривые'!$B$18:$L$18,1,MATCH(D40,'Исходные кривые'!$B$17:$L$17,1)))/(INDEX('Исходные кривые'!$B$17:$L$17,1,MATCH(D40,'Исходные кривые'!$B$17:$L$17,1)+1)-INDEX('Исходные кривые'!$B$17:$L$17,1,MATCH(D40,'Исходные кривые'!$B$17:$L$17,1)))))</x:f>
        <x:v>5.4</x:v>
      </x:c>
      <x:c r="J40" s="70" t="n">
        <x:f>IF(D40&lt;=MIN('Исходные кривые'!$B$17:$L$17),INDEX('Исходные кривые'!$B$19:$L$19,1,1),IF(D40&gt;=MAX('Исходные кривые'!$B$17:$L$17),INDEX('Исходные кривые'!$B$19:$L$19,1,COLUMNS('Исходные кривые'!$B$19:$L$19)),INDEX('Исходные кривые'!$B$19:$L$19,1,MATCH(D40,'Исходные кривые'!$B$17:$L$17,1))+(D40-INDEX('Исходные кривые'!$B$17:$L$17,1,MATCH(D40,'Исходные кривые'!$B$17:$L$17,1)))*(INDEX('Исходные кривые'!$B$19:$L$19,1,MATCH(D40,'Исходные кривые'!$B$17:$L$17,1)+1)-INDEX('Исходные кривые'!$B$19:$L$19,1,MATCH(D40,'Исходные кривые'!$B$17:$L$17,1)))/(INDEX('Исходные кривые'!$B$17:$L$17,1,MATCH(D40,'Исходные кривые'!$B$17:$L$17,1)+1)-INDEX('Исходные кривые'!$B$17:$L$17,1,MATCH(D40,'Исходные кривые'!$B$17:$L$17,1)))))</x:f>
        <x:v>-1.9</x:v>
      </x:c>
    </x:row>
    <x:row r="41">
      <x:c r="A41" s="56" t="str">
        <x:v>Новый набор — изображение 1</x:v>
      </x:c>
      <x:c r="B41" s="57" t="n">
        <x:v>47880</x:v>
      </x:c>
      <x:c r="C41" s="71" t="n">
        <x:f>B41-'Настройки'!$B$4</x:f>
        <x:v>1677</x:v>
      </x:c>
      <x:c r="D41" s="72" t="n">
        <x:f>C41/'Настройки'!$B$5</x:f>
        <x:v>4.594520547945206</x:v>
      </x:c>
      <x:c r="E41" s="72" t="n">
        <x:f>IF(D41&lt;=MIN('Исходные кривые'!$B$4:$L$4),INDEX('Исходные кривые'!$B$5:$L$5,1,1),IF(D41&gt;=MAX('Исходные кривые'!$B$4:$L$4),INDEX('Исходные кривые'!$B$5:$L$5,1,COLUMNS('Исходные кривые'!$B$5:$L$5)),INDEX('Исходные кривые'!$B$5:$L$5,1,MATCH(D41,'Исходные кривые'!$B$4:$L$4,1))+(D41-INDEX('Исходные кривые'!$B$4:$L$4,1,MATCH(D41,'Исходные кривые'!$B$4:$L$4,1)))*(INDEX('Исходные кривые'!$B$5:$L$5,1,MATCH(D41,'Исходные кривые'!$B$4:$L$4,1)+1)-INDEX('Исходные кривые'!$B$5:$L$5,1,MATCH(D41,'Исходные кривые'!$B$4:$L$4,1)))/(INDEX('Исходные кривые'!$B$4:$L$4,1,MATCH(D41,'Исходные кривые'!$B$4:$L$4,1)+1)-INDEX('Исходные кривые'!$B$4:$L$4,1,MATCH(D41,'Исходные кривые'!$B$4:$L$4,1)))))</x:f>
        <x:v>15.227397260273973</x:v>
      </x:c>
      <x:c r="F41" s="72" t="n">
        <x:f>IF(D41&lt;=MIN('Исходные кривые'!$B$8:$N$8),INDEX('Исходные кривые'!$B$9:$N$9,1,1),IF(D41&gt;=MAX('Исходные кривые'!$B$8:$N$8),INDEX('Исходные кривые'!$B$9:$N$9,1,COLUMNS('Исходные кривые'!$B$9:$N$9)),INDEX('Исходные кривые'!$B$9:$N$9,1,MATCH(D41,'Исходные кривые'!$B$8:$N$8,1))+(D41-INDEX('Исходные кривые'!$B$8:$N$8,1,MATCH(D41,'Исходные кривые'!$B$8:$N$8,1)))*(INDEX('Исходные кривые'!$B$9:$N$9,1,MATCH(D41,'Исходные кривые'!$B$8:$N$8,1)+1)-INDEX('Исходные кривые'!$B$9:$N$9,1,MATCH(D41,'Исходные кривые'!$B$8:$N$8,1)))/(INDEX('Исходные кривые'!$B$8:$N$8,1,MATCH(D41,'Исходные кривые'!$B$8:$N$8,1)+1)-INDEX('Исходные кривые'!$B$8:$N$8,1,MATCH(D41,'Исходные кривые'!$B$8:$N$8,1)))))</x:f>
        <x:v>17.227397260273975</x:v>
      </x:c>
      <x:c r="G41" s="72" t="n">
        <x:f>IF(D41&lt;=MIN('Исходные кривые'!$B$12:$K$12),INDEX('Исходные кривые'!$B$13:$K$13,1,1),IF(D41&gt;=MAX('Исходные кривые'!$B$12:$K$12),INDEX('Исходные кривые'!$B$13:$K$13,1,COLUMNS('Исходные кривые'!$B$13:$K$13)),INDEX('Исходные кривые'!$B$13:$K$13,1,MATCH(D41,'Исходные кривые'!$B$12:$K$12,1))+(D41-INDEX('Исходные кривые'!$B$12:$K$12,1,MATCH(D41,'Исходные кривые'!$B$12:$K$12,1)))*(INDEX('Исходные кривые'!$B$13:$K$13,1,MATCH(D41,'Исходные кривые'!$B$12:$K$12,1)+1)-INDEX('Исходные кривые'!$B$13:$K$13,1,MATCH(D41,'Исходные кривые'!$B$12:$K$12,1)))/(INDEX('Исходные кривые'!$B$12:$K$12,1,MATCH(D41,'Исходные кривые'!$B$12:$K$12,1)+1)-INDEX('Исходные кривые'!$B$12:$K$12,1,MATCH(D41,'Исходные кривые'!$B$12:$K$12,1)))))</x:f>
        <x:v>49.21643835616438</x:v>
      </x:c>
      <x:c r="H41" s="72" t="n">
        <x:f>IF(D41&lt;=MIN('Исходные кривые'!$B$12:$K$12),INDEX('Исходные кривые'!$B$14:$K$14,1,1),IF(D41&gt;=MAX('Исходные кривые'!$B$12:$K$12),INDEX('Исходные кривые'!$B$14:$K$14,1,COLUMNS('Исходные кривые'!$B$14:$K$14)),INDEX('Исходные кривые'!$B$14:$K$14,1,MATCH(D41,'Исходные кривые'!$B$12:$K$12,1))+(D41-INDEX('Исходные кривые'!$B$12:$K$12,1,MATCH(D41,'Исходные кривые'!$B$12:$K$12,1)))*(INDEX('Исходные кривые'!$B$14:$K$14,1,MATCH(D41,'Исходные кривые'!$B$12:$K$12,1)+1)-INDEX('Исходные кривые'!$B$14:$K$14,1,MATCH(D41,'Исходные кривые'!$B$12:$K$12,1)))/(INDEX('Исходные кривые'!$B$12:$K$12,1,MATCH(D41,'Исходные кривые'!$B$12:$K$12,1)+1)-INDEX('Исходные кривые'!$B$12:$K$12,1,MATCH(D41,'Исходные кривые'!$B$12:$K$12,1)))))</x:f>
        <x:v>-27.202739726027396</x:v>
      </x:c>
      <x:c r="I41" s="72" t="n">
        <x:f>IF(D41&lt;=MIN('Исходные кривые'!$B$17:$L$17),INDEX('Исходные кривые'!$B$18:$L$18,1,1),IF(D41&gt;=MAX('Исходные кривые'!$B$17:$L$17),INDEX('Исходные кривые'!$B$18:$L$18,1,COLUMNS('Исходные кривые'!$B$18:$L$18)),INDEX('Исходные кривые'!$B$18:$L$18,1,MATCH(D41,'Исходные кривые'!$B$17:$L$17,1))+(D41-INDEX('Исходные кривые'!$B$17:$L$17,1,MATCH(D41,'Исходные кривые'!$B$17:$L$17,1)))*(INDEX('Исходные кривые'!$B$18:$L$18,1,MATCH(D41,'Исходные кривые'!$B$17:$L$17,1)+1)-INDEX('Исходные кривые'!$B$18:$L$18,1,MATCH(D41,'Исходные кривые'!$B$17:$L$17,1)))/(INDEX('Исходные кривые'!$B$17:$L$17,1,MATCH(D41,'Исходные кривые'!$B$17:$L$17,1)+1)-INDEX('Исходные кривые'!$B$17:$L$17,1,MATCH(D41,'Исходные кривые'!$B$17:$L$17,1)))))</x:f>
        <x:v>5.704109589041096</x:v>
      </x:c>
      <x:c r="J41" s="72" t="n">
        <x:f>IF(D41&lt;=MIN('Исходные кривые'!$B$17:$L$17),INDEX('Исходные кривые'!$B$19:$L$19,1,1),IF(D41&gt;=MAX('Исходные кривые'!$B$17:$L$17),INDEX('Исходные кривые'!$B$19:$L$19,1,COLUMNS('Исходные кривые'!$B$19:$L$19)),INDEX('Исходные кривые'!$B$19:$L$19,1,MATCH(D41,'Исходные кривые'!$B$17:$L$17,1))+(D41-INDEX('Исходные кривые'!$B$17:$L$17,1,MATCH(D41,'Исходные кривые'!$B$17:$L$17,1)))*(INDEX('Исходные кривые'!$B$19:$L$19,1,MATCH(D41,'Исходные кривые'!$B$17:$L$17,1)+1)-INDEX('Исходные кривые'!$B$19:$L$19,1,MATCH(D41,'Исходные кривые'!$B$17:$L$17,1)))/(INDEX('Исходные кривые'!$B$17:$L$17,1,MATCH(D41,'Исходные кривые'!$B$17:$L$17,1)+1)-INDEX('Исходные кривые'!$B$17:$L$17,1,MATCH(D41,'Исходные кривые'!$B$17:$L$17,1)))))</x:f>
        <x:v>-2.2852054794520544</x:v>
      </x:c>
    </x:row>
    <x:row r="42">
      <x:c r="A42" s="50" t="str">
        <x:v>Новый набор — изображение 1</x:v>
      </x:c>
      <x:c r="B42" s="51" t="n">
        <x:v>47970</x:v>
      </x:c>
      <x:c r="C42" s="73" t="n">
        <x:f>B42-'Настройки'!$B$4</x:f>
        <x:v>1767</x:v>
      </x:c>
      <x:c r="D42" s="74" t="n">
        <x:f>C42/'Настройки'!$B$5</x:f>
        <x:v>4.841095890410959</x:v>
      </x:c>
      <x:c r="E42" s="74" t="n">
        <x:f>IF(D42&lt;=MIN('Исходные кривые'!$B$4:$L$4),INDEX('Исходные кривые'!$B$5:$L$5,1,1),IF(D42&gt;=MAX('Исходные кривые'!$B$4:$L$4),INDEX('Исходные кривые'!$B$5:$L$5,1,COLUMNS('Исходные кривые'!$B$5:$L$5)),INDEX('Исходные кривые'!$B$5:$L$5,1,MATCH(D42,'Исходные кривые'!$B$4:$L$4,1))+(D42-INDEX('Исходные кривые'!$B$4:$L$4,1,MATCH(D42,'Исходные кривые'!$B$4:$L$4,1)))*(INDEX('Исходные кривые'!$B$5:$L$5,1,MATCH(D42,'Исходные кривые'!$B$4:$L$4,1)+1)-INDEX('Исходные кривые'!$B$5:$L$5,1,MATCH(D42,'Исходные кривые'!$B$4:$L$4,1)))/(INDEX('Исходные кривые'!$B$4:$L$4,1,MATCH(D42,'Исходные кривые'!$B$4:$L$4,1)+1)-INDEX('Исходные кривые'!$B$4:$L$4,1,MATCH(D42,'Исходные кривые'!$B$4:$L$4,1)))))</x:f>
        <x:v>15.344520547945205</x:v>
      </x:c>
      <x:c r="F42" s="74" t="n">
        <x:f>IF(D42&lt;=MIN('Исходные кривые'!$B$8:$N$8),INDEX('Исходные кривые'!$B$9:$N$9,1,1),IF(D42&gt;=MAX('Исходные кривые'!$B$8:$N$8),INDEX('Исходные кривые'!$B$9:$N$9,1,COLUMNS('Исходные кривые'!$B$9:$N$9)),INDEX('Исходные кривые'!$B$9:$N$9,1,MATCH(D42,'Исходные кривые'!$B$8:$N$8,1))+(D42-INDEX('Исходные кривые'!$B$8:$N$8,1,MATCH(D42,'Исходные кривые'!$B$8:$N$8,1)))*(INDEX('Исходные кривые'!$B$9:$N$9,1,MATCH(D42,'Исходные кривые'!$B$8:$N$8,1)+1)-INDEX('Исходные кривые'!$B$9:$N$9,1,MATCH(D42,'Исходные кривые'!$B$8:$N$8,1)))/(INDEX('Исходные кривые'!$B$8:$N$8,1,MATCH(D42,'Исходные кривые'!$B$8:$N$8,1)+1)-INDEX('Исходные кривые'!$B$8:$N$8,1,MATCH(D42,'Исходные кривые'!$B$8:$N$8,1)))))</x:f>
        <x:v>17.34452054794521</x:v>
      </x:c>
      <x:c r="G42" s="74" t="n">
        <x:f>IF(D42&lt;=MIN('Исходные кривые'!$B$12:$K$12),INDEX('Исходные кривые'!$B$13:$K$13,1,1),IF(D42&gt;=MAX('Исходные кривые'!$B$12:$K$12),INDEX('Исходные кривые'!$B$13:$K$13,1,COLUMNS('Исходные кривые'!$B$13:$K$13)),INDEX('Исходные кривые'!$B$13:$K$13,1,MATCH(D42,'Исходные кривые'!$B$12:$K$12,1))+(D42-INDEX('Исходные кривые'!$B$12:$K$12,1,MATCH(D42,'Исходные кривые'!$B$12:$K$12,1)))*(INDEX('Исходные кривые'!$B$13:$K$13,1,MATCH(D42,'Исходные кривые'!$B$12:$K$12,1)+1)-INDEX('Исходные кривые'!$B$13:$K$13,1,MATCH(D42,'Исходные кривые'!$B$12:$K$12,1)))/(INDEX('Исходные кривые'!$B$12:$K$12,1,MATCH(D42,'Исходные кривые'!$B$12:$K$12,1)+1)-INDEX('Исходные кривые'!$B$12:$K$12,1,MATCH(D42,'Исходные кривые'!$B$12:$K$12,1)))))</x:f>
        <x:v>48.47671232876712</x:v>
      </x:c>
      <x:c r="H42" s="74" t="n">
        <x:f>IF(D42&lt;=MIN('Исходные кривые'!$B$12:$K$12),INDEX('Исходные кривые'!$B$14:$K$14,1,1),IF(D42&gt;=MAX('Исходные кривые'!$B$12:$K$12),INDEX('Исходные кривые'!$B$14:$K$14,1,COLUMNS('Исходные кривые'!$B$14:$K$14)),INDEX('Исходные кривые'!$B$14:$K$14,1,MATCH(D42,'Исходные кривые'!$B$12:$K$12,1))+(D42-INDEX('Исходные кривые'!$B$12:$K$12,1,MATCH(D42,'Исходные кривые'!$B$12:$K$12,1)))*(INDEX('Исходные кривые'!$B$14:$K$14,1,MATCH(D42,'Исходные кривые'!$B$12:$K$12,1)+1)-INDEX('Исходные кривые'!$B$14:$K$14,1,MATCH(D42,'Исходные кривые'!$B$12:$K$12,1)))/(INDEX('Исходные кривые'!$B$12:$K$12,1,MATCH(D42,'Исходные кривые'!$B$12:$K$12,1)+1)-INDEX('Исходные кривые'!$B$12:$K$12,1,MATCH(D42,'Исходные кривые'!$B$12:$K$12,1)))))</x:f>
        <x:v>-27.07945205479452</x:v>
      </x:c>
      <x:c r="I42" s="74" t="n">
        <x:f>IF(D42&lt;=MIN('Исходные кривые'!$B$17:$L$17),INDEX('Исходные кривые'!$B$18:$L$18,1,1),IF(D42&gt;=MAX('Исходные кривые'!$B$17:$L$17),INDEX('Исходные кривые'!$B$18:$L$18,1,COLUMNS('Исходные кривые'!$B$18:$L$18)),INDEX('Исходные кривые'!$B$18:$L$18,1,MATCH(D42,'Исходные кривые'!$B$17:$L$17,1))+(D42-INDEX('Исходные кривые'!$B$17:$L$17,1,MATCH(D42,'Исходные кривые'!$B$17:$L$17,1)))*(INDEX('Исходные кривые'!$B$18:$L$18,1,MATCH(D42,'Исходные кривые'!$B$17:$L$17,1)+1)-INDEX('Исходные кривые'!$B$18:$L$18,1,MATCH(D42,'Исходные кривые'!$B$17:$L$17,1)))/(INDEX('Исходные кривые'!$B$17:$L$17,1,MATCH(D42,'Исходные кривые'!$B$17:$L$17,1)+1)-INDEX('Исходные кривые'!$B$17:$L$17,1,MATCH(D42,'Исходные кривые'!$B$17:$L$17,1)))))</x:f>
        <x:v>5.519178082191781</x:v>
      </x:c>
      <x:c r="J42" s="74" t="n">
        <x:f>IF(D42&lt;=MIN('Исходные кривые'!$B$17:$L$17),INDEX('Исходные кривые'!$B$19:$L$19,1,1),IF(D42&gt;=MAX('Исходные кривые'!$B$17:$L$17),INDEX('Исходные кривые'!$B$19:$L$19,1,COLUMNS('Исходные кривые'!$B$19:$L$19)),INDEX('Исходные кривые'!$B$19:$L$19,1,MATCH(D42,'Исходные кривые'!$B$17:$L$17,1))+(D42-INDEX('Исходные кривые'!$B$17:$L$17,1,MATCH(D42,'Исходные кривые'!$B$17:$L$17,1)))*(INDEX('Исходные кривые'!$B$19:$L$19,1,MATCH(D42,'Исходные кривые'!$B$17:$L$17,1)+1)-INDEX('Исходные кривые'!$B$19:$L$19,1,MATCH(D42,'Исходные кривые'!$B$17:$L$17,1)))/(INDEX('Исходные кривые'!$B$17:$L$17,1,MATCH(D42,'Исходные кривые'!$B$17:$L$17,1)+1)-INDEX('Исходные кривые'!$B$17:$L$17,1,MATCH(D42,'Исходные кривые'!$B$17:$L$17,1)))))</x:f>
        <x:v>-2.0509589041095886</x:v>
      </x:c>
    </x:row>
    <x:row r="43">
      <x:c r="A43" s="50" t="str">
        <x:v>Новый набор — изображение 1</x:v>
      </x:c>
      <x:c r="B43" s="51" t="n">
        <x:v>48061</x:v>
      </x:c>
      <x:c r="C43" s="73" t="n">
        <x:f>B43-'Настройки'!$B$4</x:f>
        <x:v>1858</x:v>
      </x:c>
      <x:c r="D43" s="74" t="n">
        <x:f>C43/'Настройки'!$B$5</x:f>
        <x:v>5.090410958904109</x:v>
      </x:c>
      <x:c r="E43" s="74" t="n">
        <x:f>IF(D43&lt;=MIN('Исходные кривые'!$B$4:$L$4),INDEX('Исходные кривые'!$B$5:$L$5,1,1),IF(D43&gt;=MAX('Исходные кривые'!$B$4:$L$4),INDEX('Исходные кривые'!$B$5:$L$5,1,COLUMNS('Исходные кривые'!$B$5:$L$5)),INDEX('Исходные кривые'!$B$5:$L$5,1,MATCH(D43,'Исходные кривые'!$B$4:$L$4,1))+(D43-INDEX('Исходные кривые'!$B$4:$L$4,1,MATCH(D43,'Исходные кривые'!$B$4:$L$4,1)))*(INDEX('Исходные кривые'!$B$5:$L$5,1,MATCH(D43,'Исходные кривые'!$B$4:$L$4,1)+1)-INDEX('Исходные кривые'!$B$5:$L$5,1,MATCH(D43,'Исходные кривые'!$B$4:$L$4,1)))/(INDEX('Исходные кривые'!$B$4:$L$4,1,MATCH(D43,'Исходные кривые'!$B$4:$L$4,1)+1)-INDEX('Исходные кривые'!$B$4:$L$4,1,MATCH(D43,'Исходные кривые'!$B$4:$L$4,1)))))</x:f>
        <x:v>15.44531506849315</x:v>
      </x:c>
      <x:c r="F43" s="74" t="n">
        <x:f>IF(D43&lt;=MIN('Исходные кривые'!$B$8:$N$8),INDEX('Исходные кривые'!$B$9:$N$9,1,1),IF(D43&gt;=MAX('Исходные кривые'!$B$8:$N$8),INDEX('Исходные кривые'!$B$9:$N$9,1,COLUMNS('Исходные кривые'!$B$9:$N$9)),INDEX('Исходные кривые'!$B$9:$N$9,1,MATCH(D43,'Исходные кривые'!$B$8:$N$8,1))+(D43-INDEX('Исходные кривые'!$B$8:$N$8,1,MATCH(D43,'Исходные кривые'!$B$8:$N$8,1)))*(INDEX('Исходные кривые'!$B$9:$N$9,1,MATCH(D43,'Исходные кривые'!$B$8:$N$8,1)+1)-INDEX('Исходные кривые'!$B$9:$N$9,1,MATCH(D43,'Исходные кривые'!$B$8:$N$8,1)))/(INDEX('Исходные кривые'!$B$8:$N$8,1,MATCH(D43,'Исходные кривые'!$B$8:$N$8,1)+1)-INDEX('Исходные кривые'!$B$8:$N$8,1,MATCH(D43,'Исходные кривые'!$B$8:$N$8,1)))))</x:f>
        <x:v>17.44531506849315</x:v>
      </x:c>
      <x:c r="G43" s="74" t="n">
        <x:f>IF(D43&lt;=MIN('Исходные кривые'!$B$12:$K$12),INDEX('Исходные кривые'!$B$13:$K$13,1,1),IF(D43&gt;=MAX('Исходные кривые'!$B$12:$K$12),INDEX('Исходные кривые'!$B$13:$K$13,1,COLUMNS('Исходные кривые'!$B$13:$K$13)),INDEX('Исходные кривые'!$B$13:$K$13,1,MATCH(D43,'Исходные кривые'!$B$12:$K$12,1))+(D43-INDEX('Исходные кривые'!$B$12:$K$12,1,MATCH(D43,'Исходные кривые'!$B$12:$K$12,1)))*(INDEX('Исходные кривые'!$B$13:$K$13,1,MATCH(D43,'Исходные кривые'!$B$12:$K$12,1)+1)-INDEX('Исходные кривые'!$B$13:$K$13,1,MATCH(D43,'Исходные кривые'!$B$12:$K$12,1)))/(INDEX('Исходные кривые'!$B$12:$K$12,1,MATCH(D43,'Исходные кривые'!$B$12:$K$12,1)+1)-INDEX('Исходные кривые'!$B$12:$K$12,1,MATCH(D43,'Исходные кривые'!$B$12:$K$12,1)))))</x:f>
        <x:v>47.728767123287675</x:v>
      </x:c>
      <x:c r="H43" s="74" t="n">
        <x:f>IF(D43&lt;=MIN('Исходные кривые'!$B$12:$K$12),INDEX('Исходные кривые'!$B$14:$K$14,1,1),IF(D43&gt;=MAX('Исходные кривые'!$B$12:$K$12),INDEX('Исходные кривые'!$B$14:$K$14,1,COLUMNS('Исходные кривые'!$B$14:$K$14)),INDEX('Исходные кривые'!$B$14:$K$14,1,MATCH(D43,'Исходные кривые'!$B$12:$K$12,1))+(D43-INDEX('Исходные кривые'!$B$12:$K$12,1,MATCH(D43,'Исходные кривые'!$B$12:$K$12,1)))*(INDEX('Исходные кривые'!$B$14:$K$14,1,MATCH(D43,'Исходные кривые'!$B$12:$K$12,1)+1)-INDEX('Исходные кривые'!$B$14:$K$14,1,MATCH(D43,'Исходные кривые'!$B$12:$K$12,1)))/(INDEX('Исходные кривые'!$B$12:$K$12,1,MATCH(D43,'Исходные кривые'!$B$12:$K$12,1)+1)-INDEX('Исходные кривые'!$B$12:$K$12,1,MATCH(D43,'Исходные кривые'!$B$12:$K$12,1)))))</x:f>
        <x:v>-26.954794520547946</x:v>
      </x:c>
      <x:c r="I43" s="74" t="n">
        <x:f>IF(D43&lt;=MIN('Исходные кривые'!$B$17:$L$17),INDEX('Исходные кривые'!$B$18:$L$18,1,1),IF(D43&gt;=MAX('Исходные кривые'!$B$17:$L$17),INDEX('Исходные кривые'!$B$18:$L$18,1,COLUMNS('Исходные кривые'!$B$18:$L$18)),INDEX('Исходные кривые'!$B$18:$L$18,1,MATCH(D43,'Исходные кривые'!$B$17:$L$17,1))+(D43-INDEX('Исходные кривые'!$B$17:$L$17,1,MATCH(D43,'Исходные кривые'!$B$17:$L$17,1)))*(INDEX('Исходные кривые'!$B$18:$L$18,1,MATCH(D43,'Исходные кривые'!$B$17:$L$17,1)+1)-INDEX('Исходные кривые'!$B$18:$L$18,1,MATCH(D43,'Исходные кривые'!$B$17:$L$17,1)))/(INDEX('Исходные кривые'!$B$17:$L$17,1,MATCH(D43,'Исходные кривые'!$B$17:$L$17,1)+1)-INDEX('Исходные кривые'!$B$17:$L$17,1,MATCH(D43,'Исходные кривые'!$B$17:$L$17,1)))))</x:f>
        <x:v>5.4</x:v>
      </x:c>
      <x:c r="J43" s="74" t="n">
        <x:f>IF(D43&lt;=MIN('Исходные кривые'!$B$17:$L$17),INDEX('Исходные кривые'!$B$19:$L$19,1,1),IF(D43&gt;=MAX('Исходные кривые'!$B$17:$L$17),INDEX('Исходные кривые'!$B$19:$L$19,1,COLUMNS('Исходные кривые'!$B$19:$L$19)),INDEX('Исходные кривые'!$B$19:$L$19,1,MATCH(D43,'Исходные кривые'!$B$17:$L$17,1))+(D43-INDEX('Исходные кривые'!$B$17:$L$17,1,MATCH(D43,'Исходные кривые'!$B$17:$L$17,1)))*(INDEX('Исходные кривые'!$B$19:$L$19,1,MATCH(D43,'Исходные кривые'!$B$17:$L$17,1)+1)-INDEX('Исходные кривые'!$B$19:$L$19,1,MATCH(D43,'Исходные кривые'!$B$17:$L$17,1)))/(INDEX('Исходные кривые'!$B$17:$L$17,1,MATCH(D43,'Исходные кривые'!$B$17:$L$17,1)+1)-INDEX('Исходные кривые'!$B$17:$L$17,1,MATCH(D43,'Исходные кривые'!$B$17:$L$17,1)))))</x:f>
        <x:v>-1.9</x:v>
      </x:c>
    </x:row>
    <x:row r="44">
      <x:c r="A44" s="50" t="str">
        <x:v>Новый набор — изображение 1</x:v>
      </x:c>
      <x:c r="B44" s="51" t="n">
        <x:v>48152</x:v>
      </x:c>
      <x:c r="C44" s="73" t="n">
        <x:f>B44-'Настройки'!$B$4</x:f>
        <x:v>1949</x:v>
      </x:c>
      <x:c r="D44" s="74" t="n">
        <x:f>C44/'Настройки'!$B$5</x:f>
        <x:v>5.33972602739726</x:v>
      </x:c>
      <x:c r="E44" s="74" t="n">
        <x:f>IF(D44&lt;=MIN('Исходные кривые'!$B$4:$L$4),INDEX('Исходные кривые'!$B$5:$L$5,1,1),IF(D44&gt;=MAX('Исходные кривые'!$B$4:$L$4),INDEX('Исходные кривые'!$B$5:$L$5,1,COLUMNS('Исходные кривые'!$B$5:$L$5)),INDEX('Исходные кривые'!$B$5:$L$5,1,MATCH(D44,'Исходные кривые'!$B$4:$L$4,1))+(D44-INDEX('Исходные кривые'!$B$4:$L$4,1,MATCH(D44,'Исходные кривые'!$B$4:$L$4,1)))*(INDEX('Исходные кривые'!$B$5:$L$5,1,MATCH(D44,'Исходные кривые'!$B$4:$L$4,1)+1)-INDEX('Исходные кривые'!$B$5:$L$5,1,MATCH(D44,'Исходные кривые'!$B$4:$L$4,1)))/(INDEX('Исходные кривые'!$B$4:$L$4,1,MATCH(D44,'Исходные кривые'!$B$4:$L$4,1)+1)-INDEX('Исходные кривые'!$B$4:$L$4,1,MATCH(D44,'Исходные кривые'!$B$4:$L$4,1)))))</x:f>
        <x:v>15.515123287671233</x:v>
      </x:c>
      <x:c r="F44" s="74" t="n">
        <x:f>IF(D44&lt;=MIN('Исходные кривые'!$B$8:$N$8),INDEX('Исходные кривые'!$B$9:$N$9,1,1),IF(D44&gt;=MAX('Исходные кривые'!$B$8:$N$8),INDEX('Исходные кривые'!$B$9:$N$9,1,COLUMNS('Исходные кривые'!$B$9:$N$9)),INDEX('Исходные кривые'!$B$9:$N$9,1,MATCH(D44,'Исходные кривые'!$B$8:$N$8,1))+(D44-INDEX('Исходные кривые'!$B$8:$N$8,1,MATCH(D44,'Исходные кривые'!$B$8:$N$8,1)))*(INDEX('Исходные кривые'!$B$9:$N$9,1,MATCH(D44,'Исходные кривые'!$B$8:$N$8,1)+1)-INDEX('Исходные кривые'!$B$9:$N$9,1,MATCH(D44,'Исходные кривые'!$B$8:$N$8,1)))/(INDEX('Исходные кривые'!$B$8:$N$8,1,MATCH(D44,'Исходные кривые'!$B$8:$N$8,1)+1)-INDEX('Исходные кривые'!$B$8:$N$8,1,MATCH(D44,'Исходные кривые'!$B$8:$N$8,1)))))</x:f>
        <x:v>17.515123287671233</x:v>
      </x:c>
      <x:c r="G44" s="74" t="n">
        <x:f>IF(D44&lt;=MIN('Исходные кривые'!$B$12:$K$12),INDEX('Исходные кривые'!$B$13:$K$13,1,1),IF(D44&gt;=MAX('Исходные кривые'!$B$12:$K$12),INDEX('Исходные кривые'!$B$13:$K$13,1,COLUMNS('Исходные кривые'!$B$13:$K$13)),INDEX('Исходные кривые'!$B$13:$K$13,1,MATCH(D44,'Исходные кривые'!$B$12:$K$12,1))+(D44-INDEX('Исходные кривые'!$B$12:$K$12,1,MATCH(D44,'Исходные кривые'!$B$12:$K$12,1)))*(INDEX('Исходные кривые'!$B$13:$K$13,1,MATCH(D44,'Исходные кривые'!$B$12:$K$12,1)+1)-INDEX('Исходные кривые'!$B$13:$K$13,1,MATCH(D44,'Исходные кривые'!$B$12:$K$12,1)))/(INDEX('Исходные кривые'!$B$12:$K$12,1,MATCH(D44,'Исходные кривые'!$B$12:$K$12,1)+1)-INDEX('Исходные кривые'!$B$12:$K$12,1,MATCH(D44,'Исходные кривые'!$B$12:$K$12,1)))))</x:f>
        <x:v>46.98082191780822</x:v>
      </x:c>
      <x:c r="H44" s="74" t="n">
        <x:f>IF(D44&lt;=MIN('Исходные кривые'!$B$12:$K$12),INDEX('Исходные кривые'!$B$14:$K$14,1,1),IF(D44&gt;=MAX('Исходные кривые'!$B$12:$K$12),INDEX('Исходные кривые'!$B$14:$K$14,1,COLUMNS('Исходные кривые'!$B$14:$K$14)),INDEX('Исходные кривые'!$B$14:$K$14,1,MATCH(D44,'Исходные кривые'!$B$12:$K$12,1))+(D44-INDEX('Исходные кривые'!$B$12:$K$12,1,MATCH(D44,'Исходные кривые'!$B$12:$K$12,1)))*(INDEX('Исходные кривые'!$B$14:$K$14,1,MATCH(D44,'Исходные кривые'!$B$12:$K$12,1)+1)-INDEX('Исходные кривые'!$B$14:$K$14,1,MATCH(D44,'Исходные кривые'!$B$12:$K$12,1)))/(INDEX('Исходные кривые'!$B$12:$K$12,1,MATCH(D44,'Исходные кривые'!$B$12:$K$12,1)+1)-INDEX('Исходные кривые'!$B$12:$K$12,1,MATCH(D44,'Исходные кривые'!$B$12:$K$12,1)))))</x:f>
        <x:v>-26.83013698630137</x:v>
      </x:c>
      <x:c r="I44" s="74" t="n">
        <x:f>IF(D44&lt;=MIN('Исходные кривые'!$B$17:$L$17),INDEX('Исходные кривые'!$B$18:$L$18,1,1),IF(D44&gt;=MAX('Исходные кривые'!$B$17:$L$17),INDEX('Исходные кривые'!$B$18:$L$18,1,COLUMNS('Исходные кривые'!$B$18:$L$18)),INDEX('Исходные кривые'!$B$18:$L$18,1,MATCH(D44,'Исходные кривые'!$B$17:$L$17,1))+(D44-INDEX('Исходные кривые'!$B$17:$L$17,1,MATCH(D44,'Исходные кривые'!$B$17:$L$17,1)))*(INDEX('Исходные кривые'!$B$18:$L$18,1,MATCH(D44,'Исходные кривые'!$B$17:$L$17,1)+1)-INDEX('Исходные кривые'!$B$18:$L$18,1,MATCH(D44,'Исходные кривые'!$B$17:$L$17,1)))/(INDEX('Исходные кривые'!$B$17:$L$17,1,MATCH(D44,'Исходные кривые'!$B$17:$L$17,1)+1)-INDEX('Исходные кривые'!$B$17:$L$17,1,MATCH(D44,'Исходные кривые'!$B$17:$L$17,1)))))</x:f>
        <x:v>5.4</x:v>
      </x:c>
      <x:c r="J44" s="74" t="n">
        <x:f>IF(D44&lt;=MIN('Исходные кривые'!$B$17:$L$17),INDEX('Исходные кривые'!$B$19:$L$19,1,1),IF(D44&gt;=MAX('Исходные кривые'!$B$17:$L$17),INDEX('Исходные кривые'!$B$19:$L$19,1,COLUMNS('Исходные кривые'!$B$19:$L$19)),INDEX('Исходные кривые'!$B$19:$L$19,1,MATCH(D44,'Исходные кривые'!$B$17:$L$17,1))+(D44-INDEX('Исходные кривые'!$B$17:$L$17,1,MATCH(D44,'Исходные кривые'!$B$17:$L$17,1)))*(INDEX('Исходные кривые'!$B$19:$L$19,1,MATCH(D44,'Исходные кривые'!$B$17:$L$17,1)+1)-INDEX('Исходные кривые'!$B$19:$L$19,1,MATCH(D44,'Исходные кривые'!$B$17:$L$17,1)))/(INDEX('Исходные кривые'!$B$17:$L$17,1,MATCH(D44,'Исходные кривые'!$B$17:$L$17,1)+1)-INDEX('Исходные кривые'!$B$17:$L$17,1,MATCH(D44,'Исходные кривые'!$B$17:$L$17,1)))))</x:f>
        <x:v>-1.9</x:v>
      </x:c>
    </x:row>
    <x:row r="45">
      <x:c r="A45" s="50" t="str">
        <x:v>Новый набор — изображение 1</x:v>
      </x:c>
      <x:c r="B45" s="51" t="n">
        <x:v>48244</x:v>
      </x:c>
      <x:c r="C45" s="73" t="n">
        <x:f>B45-'Настройки'!$B$4</x:f>
        <x:v>2041</x:v>
      </x:c>
      <x:c r="D45" s="74" t="n">
        <x:f>C45/'Настройки'!$B$5</x:f>
        <x:v>5.5917808219178085</x:v>
      </x:c>
      <x:c r="E45" s="74" t="n">
        <x:f>IF(D45&lt;=MIN('Исходные кривые'!$B$4:$L$4),INDEX('Исходные кривые'!$B$5:$L$5,1,1),IF(D45&gt;=MAX('Исходные кривые'!$B$4:$L$4),INDEX('Исходные кривые'!$B$5:$L$5,1,COLUMNS('Исходные кривые'!$B$5:$L$5)),INDEX('Исходные кривые'!$B$5:$L$5,1,MATCH(D45,'Исходные кривые'!$B$4:$L$4,1))+(D45-INDEX('Исходные кривые'!$B$4:$L$4,1,MATCH(D45,'Исходные кривые'!$B$4:$L$4,1)))*(INDEX('Исходные кривые'!$B$5:$L$5,1,MATCH(D45,'Исходные кривые'!$B$4:$L$4,1)+1)-INDEX('Исходные кривые'!$B$5:$L$5,1,MATCH(D45,'Исходные кривые'!$B$4:$L$4,1)))/(INDEX('Исходные кривые'!$B$4:$L$4,1,MATCH(D45,'Исходные кривые'!$B$4:$L$4,1)+1)-INDEX('Исходные кривые'!$B$4:$L$4,1,MATCH(D45,'Исходные кривые'!$B$4:$L$4,1)))))</x:f>
        <x:v>15.585698630136987</x:v>
      </x:c>
      <x:c r="F45" s="74" t="n">
        <x:f>IF(D45&lt;=MIN('Исходные кривые'!$B$8:$N$8),INDEX('Исходные кривые'!$B$9:$N$9,1,1),IF(D45&gt;=MAX('Исходные кривые'!$B$8:$N$8),INDEX('Исходные кривые'!$B$9:$N$9,1,COLUMNS('Исходные кривые'!$B$9:$N$9)),INDEX('Исходные кривые'!$B$9:$N$9,1,MATCH(D45,'Исходные кривые'!$B$8:$N$8,1))+(D45-INDEX('Исходные кривые'!$B$8:$N$8,1,MATCH(D45,'Исходные кривые'!$B$8:$N$8,1)))*(INDEX('Исходные кривые'!$B$9:$N$9,1,MATCH(D45,'Исходные кривые'!$B$8:$N$8,1)+1)-INDEX('Исходные кривые'!$B$9:$N$9,1,MATCH(D45,'Исходные кривые'!$B$8:$N$8,1)))/(INDEX('Исходные кривые'!$B$8:$N$8,1,MATCH(D45,'Исходные кривые'!$B$8:$N$8,1)+1)-INDEX('Исходные кривые'!$B$8:$N$8,1,MATCH(D45,'Исходные кривые'!$B$8:$N$8,1)))))</x:f>
        <x:v>17.58569863013699</x:v>
      </x:c>
      <x:c r="G45" s="74" t="n">
        <x:f>IF(D45&lt;=MIN('Исходные кривые'!$B$12:$K$12),INDEX('Исходные кривые'!$B$13:$K$13,1,1),IF(D45&gt;=MAX('Исходные кривые'!$B$12:$K$12),INDEX('Исходные кривые'!$B$13:$K$13,1,COLUMNS('Исходные кривые'!$B$13:$K$13)),INDEX('Исходные кривые'!$B$13:$K$13,1,MATCH(D45,'Исходные кривые'!$B$12:$K$12,1))+(D45-INDEX('Исходные кривые'!$B$12:$K$12,1,MATCH(D45,'Исходные кривые'!$B$12:$K$12,1)))*(INDEX('Исходные кривые'!$B$13:$K$13,1,MATCH(D45,'Исходные кривые'!$B$12:$K$12,1)+1)-INDEX('Исходные кривые'!$B$13:$K$13,1,MATCH(D45,'Исходные кривые'!$B$12:$K$12,1)))/(INDEX('Исходные кривые'!$B$12:$K$12,1,MATCH(D45,'Исходные кривые'!$B$12:$K$12,1)+1)-INDEX('Исходные кривые'!$B$12:$K$12,1,MATCH(D45,'Исходные кривые'!$B$12:$K$12,1)))))</x:f>
        <x:v>46.224657534246575</x:v>
      </x:c>
      <x:c r="H45" s="74" t="n">
        <x:f>IF(D45&lt;=MIN('Исходные кривые'!$B$12:$K$12),INDEX('Исходные кривые'!$B$14:$K$14,1,1),IF(D45&gt;=MAX('Исходные кривые'!$B$12:$K$12),INDEX('Исходные кривые'!$B$14:$K$14,1,COLUMNS('Исходные кривые'!$B$14:$K$14)),INDEX('Исходные кривые'!$B$14:$K$14,1,MATCH(D45,'Исходные кривые'!$B$12:$K$12,1))+(D45-INDEX('Исходные кривые'!$B$12:$K$12,1,MATCH(D45,'Исходные кривые'!$B$12:$K$12,1)))*(INDEX('Исходные кривые'!$B$14:$K$14,1,MATCH(D45,'Исходные кривые'!$B$12:$K$12,1)+1)-INDEX('Исходные кривые'!$B$14:$K$14,1,MATCH(D45,'Исходные кривые'!$B$12:$K$12,1)))/(INDEX('Исходные кривые'!$B$12:$K$12,1,MATCH(D45,'Исходные кривые'!$B$12:$K$12,1)+1)-INDEX('Исходные кривые'!$B$12:$K$12,1,MATCH(D45,'Исходные кривые'!$B$12:$K$12,1)))))</x:f>
        <x:v>-26.704109589041096</x:v>
      </x:c>
      <x:c r="I45" s="74" t="n">
        <x:f>IF(D45&lt;=MIN('Исходные кривые'!$B$17:$L$17),INDEX('Исходные кривые'!$B$18:$L$18,1,1),IF(D45&gt;=MAX('Исходные кривые'!$B$17:$L$17),INDEX('Исходные кривые'!$B$18:$L$18,1,COLUMNS('Исходные кривые'!$B$18:$L$18)),INDEX('Исходные кривые'!$B$18:$L$18,1,MATCH(D45,'Исходные кривые'!$B$17:$L$17,1))+(D45-INDEX('Исходные кривые'!$B$17:$L$17,1,MATCH(D45,'Исходные кривые'!$B$17:$L$17,1)))*(INDEX('Исходные кривые'!$B$18:$L$18,1,MATCH(D45,'Исходные кривые'!$B$17:$L$17,1)+1)-INDEX('Исходные кривые'!$B$18:$L$18,1,MATCH(D45,'Исходные кривые'!$B$17:$L$17,1)))/(INDEX('Исходные кривые'!$B$17:$L$17,1,MATCH(D45,'Исходные кривые'!$B$17:$L$17,1)+1)-INDEX('Исходные кривые'!$B$17:$L$17,1,MATCH(D45,'Исходные кривые'!$B$17:$L$17,1)))))</x:f>
        <x:v>5.4</x:v>
      </x:c>
      <x:c r="J45" s="74" t="n">
        <x:f>IF(D45&lt;=MIN('Исходные кривые'!$B$17:$L$17),INDEX('Исходные кривые'!$B$19:$L$19,1,1),IF(D45&gt;=MAX('Исходные кривые'!$B$17:$L$17),INDEX('Исходные кривые'!$B$19:$L$19,1,COLUMNS('Исходные кривые'!$B$19:$L$19)),INDEX('Исходные кривые'!$B$19:$L$19,1,MATCH(D45,'Исходные кривые'!$B$17:$L$17,1))+(D45-INDEX('Исходные кривые'!$B$17:$L$17,1,MATCH(D45,'Исходные кривые'!$B$17:$L$17,1)))*(INDEX('Исходные кривые'!$B$19:$L$19,1,MATCH(D45,'Исходные кривые'!$B$17:$L$17,1)+1)-INDEX('Исходные кривые'!$B$19:$L$19,1,MATCH(D45,'Исходные кривые'!$B$17:$L$17,1)))/(INDEX('Исходные кривые'!$B$17:$L$17,1,MATCH(D45,'Исходные кривые'!$B$17:$L$17,1)+1)-INDEX('Исходные кривые'!$B$17:$L$17,1,MATCH(D45,'Исходные кривые'!$B$17:$L$17,1)))))</x:f>
        <x:v>-1.9</x:v>
      </x:c>
    </x:row>
    <x:row r="46">
      <x:c r="A46" s="50" t="str">
        <x:v>Новый набор — изображение 1</x:v>
      </x:c>
      <x:c r="B46" s="51" t="n">
        <x:v>48336</x:v>
      </x:c>
      <x:c r="C46" s="73" t="n">
        <x:f>B46-'Настройки'!$B$4</x:f>
        <x:v>2133</x:v>
      </x:c>
      <x:c r="D46" s="74" t="n">
        <x:f>C46/'Настройки'!$B$5</x:f>
        <x:v>5.843835616438356</x:v>
      </x:c>
      <x:c r="E46" s="74" t="n">
        <x:f>IF(D46&lt;=MIN('Исходные кривые'!$B$4:$L$4),INDEX('Исходные кривые'!$B$5:$L$5,1,1),IF(D46&gt;=MAX('Исходные кривые'!$B$4:$L$4),INDEX('Исходные кривые'!$B$5:$L$5,1,COLUMNS('Исходные кривые'!$B$5:$L$5)),INDEX('Исходные кривые'!$B$5:$L$5,1,MATCH(D46,'Исходные кривые'!$B$4:$L$4,1))+(D46-INDEX('Исходные кривые'!$B$4:$L$4,1,MATCH(D46,'Исходные кривые'!$B$4:$L$4,1)))*(INDEX('Исходные кривые'!$B$5:$L$5,1,MATCH(D46,'Исходные кривые'!$B$4:$L$4,1)+1)-INDEX('Исходные кривые'!$B$5:$L$5,1,MATCH(D46,'Исходные кривые'!$B$4:$L$4,1)))/(INDEX('Исходные кривые'!$B$4:$L$4,1,MATCH(D46,'Исходные кривые'!$B$4:$L$4,1)+1)-INDEX('Исходные кривые'!$B$4:$L$4,1,MATCH(D46,'Исходные кривые'!$B$4:$L$4,1)))))</x:f>
        <x:v>15.65627397260274</x:v>
      </x:c>
      <x:c r="F46" s="74" t="n">
        <x:f>IF(D46&lt;=MIN('Исходные кривые'!$B$8:$N$8),INDEX('Исходные кривые'!$B$9:$N$9,1,1),IF(D46&gt;=MAX('Исходные кривые'!$B$8:$N$8),INDEX('Исходные кривые'!$B$9:$N$9,1,COLUMNS('Исходные кривые'!$B$9:$N$9)),INDEX('Исходные кривые'!$B$9:$N$9,1,MATCH(D46,'Исходные кривые'!$B$8:$N$8,1))+(D46-INDEX('Исходные кривые'!$B$8:$N$8,1,MATCH(D46,'Исходные кривые'!$B$8:$N$8,1)))*(INDEX('Исходные кривые'!$B$9:$N$9,1,MATCH(D46,'Исходные кривые'!$B$8:$N$8,1)+1)-INDEX('Исходные кривые'!$B$9:$N$9,1,MATCH(D46,'Исходные кривые'!$B$8:$N$8,1)))/(INDEX('Исходные кривые'!$B$8:$N$8,1,MATCH(D46,'Исходные кривые'!$B$8:$N$8,1)+1)-INDEX('Исходные кривые'!$B$8:$N$8,1,MATCH(D46,'Исходные кривые'!$B$8:$N$8,1)))))</x:f>
        <x:v>17.65627397260274</x:v>
      </x:c>
      <x:c r="G46" s="74" t="n">
        <x:f>IF(D46&lt;=MIN('Исходные кривые'!$B$12:$K$12),INDEX('Исходные кривые'!$B$13:$K$13,1,1),IF(D46&gt;=MAX('Исходные кривые'!$B$12:$K$12),INDEX('Исходные кривые'!$B$13:$K$13,1,COLUMNS('Исходные кривые'!$B$13:$K$13)),INDEX('Исходные кривые'!$B$13:$K$13,1,MATCH(D46,'Исходные кривые'!$B$12:$K$12,1))+(D46-INDEX('Исходные кривые'!$B$12:$K$12,1,MATCH(D46,'Исходные кривые'!$B$12:$K$12,1)))*(INDEX('Исходные кривые'!$B$13:$K$13,1,MATCH(D46,'Исходные кривые'!$B$12:$K$12,1)+1)-INDEX('Исходные кривые'!$B$13:$K$13,1,MATCH(D46,'Исходные кривые'!$B$12:$K$12,1)))/(INDEX('Исходные кривые'!$B$12:$K$12,1,MATCH(D46,'Исходные кривые'!$B$12:$K$12,1)+1)-INDEX('Исходные кривые'!$B$12:$K$12,1,MATCH(D46,'Исходные кривые'!$B$12:$K$12,1)))))</x:f>
        <x:v>45.468493150684935</x:v>
      </x:c>
      <x:c r="H46" s="74" t="n">
        <x:f>IF(D46&lt;=MIN('Исходные кривые'!$B$12:$K$12),INDEX('Исходные кривые'!$B$14:$K$14,1,1),IF(D46&gt;=MAX('Исходные кривые'!$B$12:$K$12),INDEX('Исходные кривые'!$B$14:$K$14,1,COLUMNS('Исходные кривые'!$B$14:$K$14)),INDEX('Исходные кривые'!$B$14:$K$14,1,MATCH(D46,'Исходные кривые'!$B$12:$K$12,1))+(D46-INDEX('Исходные кривые'!$B$12:$K$12,1,MATCH(D46,'Исходные кривые'!$B$12:$K$12,1)))*(INDEX('Исходные кривые'!$B$14:$K$14,1,MATCH(D46,'Исходные кривые'!$B$12:$K$12,1)+1)-INDEX('Исходные кривые'!$B$14:$K$14,1,MATCH(D46,'Исходные кривые'!$B$12:$K$12,1)))/(INDEX('Исходные кривые'!$B$12:$K$12,1,MATCH(D46,'Исходные кривые'!$B$12:$K$12,1)+1)-INDEX('Исходные кривые'!$B$12:$K$12,1,MATCH(D46,'Исходные кривые'!$B$12:$K$12,1)))))</x:f>
        <x:v>-26.578082191780823</x:v>
      </x:c>
      <x:c r="I46" s="74" t="n">
        <x:f>IF(D46&lt;=MIN('Исходные кривые'!$B$17:$L$17),INDEX('Исходные кривые'!$B$18:$L$18,1,1),IF(D46&gt;=MAX('Исходные кривые'!$B$17:$L$17),INDEX('Исходные кривые'!$B$18:$L$18,1,COLUMNS('Исходные кривые'!$B$18:$L$18)),INDEX('Исходные кривые'!$B$18:$L$18,1,MATCH(D46,'Исходные кривые'!$B$17:$L$17,1))+(D46-INDEX('Исходные кривые'!$B$17:$L$17,1,MATCH(D46,'Исходные кривые'!$B$17:$L$17,1)))*(INDEX('Исходные кривые'!$B$18:$L$18,1,MATCH(D46,'Исходные кривые'!$B$17:$L$17,1)+1)-INDEX('Исходные кривые'!$B$18:$L$18,1,MATCH(D46,'Исходные кривые'!$B$17:$L$17,1)))/(INDEX('Исходные кривые'!$B$17:$L$17,1,MATCH(D46,'Исходные кривые'!$B$17:$L$17,1)+1)-INDEX('Исходные кривые'!$B$17:$L$17,1,MATCH(D46,'Исходные кривые'!$B$17:$L$17,1)))))</x:f>
        <x:v>5.4</x:v>
      </x:c>
      <x:c r="J46" s="74" t="n">
        <x:f>IF(D46&lt;=MIN('Исходные кривые'!$B$17:$L$17),INDEX('Исходные кривые'!$B$19:$L$19,1,1),IF(D46&gt;=MAX('Исходные кривые'!$B$17:$L$17),INDEX('Исходные кривые'!$B$19:$L$19,1,COLUMNS('Исходные кривые'!$B$19:$L$19)),INDEX('Исходные кривые'!$B$19:$L$19,1,MATCH(D46,'Исходные кривые'!$B$17:$L$17,1))+(D46-INDEX('Исходные кривые'!$B$17:$L$17,1,MATCH(D46,'Исходные кривые'!$B$17:$L$17,1)))*(INDEX('Исходные кривые'!$B$19:$L$19,1,MATCH(D46,'Исходные кривые'!$B$17:$L$17,1)+1)-INDEX('Исходные кривые'!$B$19:$L$19,1,MATCH(D46,'Исходные кривые'!$B$17:$L$17,1)))/(INDEX('Исходные кривые'!$B$17:$L$17,1,MATCH(D46,'Исходные кривые'!$B$17:$L$17,1)+1)-INDEX('Исходные кривые'!$B$17:$L$17,1,MATCH(D46,'Исходные кривые'!$B$17:$L$17,1)))))</x:f>
        <x:v>-1.9</x:v>
      </x:c>
    </x:row>
    <x:row r="47">
      <x:c r="A47" s="50" t="str">
        <x:v>Новый набор — изображение 1</x:v>
      </x:c>
      <x:c r="B47" s="51" t="n">
        <x:v>48426</x:v>
      </x:c>
      <x:c r="C47" s="73" t="n">
        <x:f>B47-'Настройки'!$B$4</x:f>
        <x:v>2223</x:v>
      </x:c>
      <x:c r="D47" s="74" t="n">
        <x:f>C47/'Настройки'!$B$5</x:f>
        <x:v>6.090410958904109</x:v>
      </x:c>
      <x:c r="E47" s="74" t="n">
        <x:f>IF(D47&lt;=MIN('Исходные кривые'!$B$4:$L$4),INDEX('Исходные кривые'!$B$5:$L$5,1,1),IF(D47&gt;=MAX('Исходные кривые'!$B$4:$L$4),INDEX('Исходные кривые'!$B$5:$L$5,1,COLUMNS('Исходные кривые'!$B$5:$L$5)),INDEX('Исходные кривые'!$B$5:$L$5,1,MATCH(D47,'Исходные кривые'!$B$4:$L$4,1))+(D47-INDEX('Исходные кривые'!$B$4:$L$4,1,MATCH(D47,'Исходные кривые'!$B$4:$L$4,1)))*(INDEX('Исходные кривые'!$B$5:$L$5,1,MATCH(D47,'Исходные кривые'!$B$4:$L$4,1)+1)-INDEX('Исходные кривые'!$B$5:$L$5,1,MATCH(D47,'Исходные кривые'!$B$4:$L$4,1)))/(INDEX('Исходные кривые'!$B$4:$L$4,1,MATCH(D47,'Исходные кривые'!$B$4:$L$4,1)+1)-INDEX('Исходные кривые'!$B$4:$L$4,1,MATCH(D47,'Исходные кривые'!$B$4:$L$4,1)))))</x:f>
        <x:v>15.72531506849315</x:v>
      </x:c>
      <x:c r="F47" s="74" t="n">
        <x:f>IF(D47&lt;=MIN('Исходные кривые'!$B$8:$N$8),INDEX('Исходные кривые'!$B$9:$N$9,1,1),IF(D47&gt;=MAX('Исходные кривые'!$B$8:$N$8),INDEX('Исходные кривые'!$B$9:$N$9,1,COLUMNS('Исходные кривые'!$B$9:$N$9)),INDEX('Исходные кривые'!$B$9:$N$9,1,MATCH(D47,'Исходные кривые'!$B$8:$N$8,1))+(D47-INDEX('Исходные кривые'!$B$8:$N$8,1,MATCH(D47,'Исходные кривые'!$B$8:$N$8,1)))*(INDEX('Исходные кривые'!$B$9:$N$9,1,MATCH(D47,'Исходные кривые'!$B$8:$N$8,1)+1)-INDEX('Исходные кривые'!$B$9:$N$9,1,MATCH(D47,'Исходные кривые'!$B$8:$N$8,1)))/(INDEX('Исходные кривые'!$B$8:$N$8,1,MATCH(D47,'Исходные кривые'!$B$8:$N$8,1)+1)-INDEX('Исходные кривые'!$B$8:$N$8,1,MATCH(D47,'Исходные кривые'!$B$8:$N$8,1)))))</x:f>
        <x:v>17.725315068493153</x:v>
      </x:c>
      <x:c r="G47" s="74" t="n">
        <x:f>IF(D47&lt;=MIN('Исходные кривые'!$B$12:$K$12),INDEX('Исходные кривые'!$B$13:$K$13,1,1),IF(D47&gt;=MAX('Исходные кривые'!$B$12:$K$12),INDEX('Исходные кривые'!$B$13:$K$13,1,COLUMNS('Исходные кривые'!$B$13:$K$13)),INDEX('Исходные кривые'!$B$13:$K$13,1,MATCH(D47,'Исходные кривые'!$B$12:$K$12,1))+(D47-INDEX('Исходные кривые'!$B$12:$K$12,1,MATCH(D47,'Исходные кривые'!$B$12:$K$12,1)))*(INDEX('Исходные кривые'!$B$13:$K$13,1,MATCH(D47,'Исходные кривые'!$B$12:$K$12,1)+1)-INDEX('Исходные кривые'!$B$13:$K$13,1,MATCH(D47,'Исходные кривые'!$B$12:$K$12,1)))/(INDEX('Исходные кривые'!$B$12:$K$12,1,MATCH(D47,'Исходные кривые'!$B$12:$K$12,1)+1)-INDEX('Исходные кривые'!$B$12:$K$12,1,MATCH(D47,'Исходные кривые'!$B$12:$K$12,1)))))</x:f>
        <x:v>44.728767123287675</x:v>
      </x:c>
      <x:c r="H47" s="74" t="n">
        <x:f>IF(D47&lt;=MIN('Исходные кривые'!$B$12:$K$12),INDEX('Исходные кривые'!$B$14:$K$14,1,1),IF(D47&gt;=MAX('Исходные кривые'!$B$12:$K$12),INDEX('Исходные кривые'!$B$14:$K$14,1,COLUMNS('Исходные кривые'!$B$14:$K$14)),INDEX('Исходные кривые'!$B$14:$K$14,1,MATCH(D47,'Исходные кривые'!$B$12:$K$12,1))+(D47-INDEX('Исходные кривые'!$B$12:$K$12,1,MATCH(D47,'Исходные кривые'!$B$12:$K$12,1)))*(INDEX('Исходные кривые'!$B$14:$K$14,1,MATCH(D47,'Исходные кривые'!$B$12:$K$12,1)+1)-INDEX('Исходные кривые'!$B$14:$K$14,1,MATCH(D47,'Исходные кривые'!$B$12:$K$12,1)))/(INDEX('Исходные кривые'!$B$12:$K$12,1,MATCH(D47,'Исходные кривые'!$B$12:$K$12,1)+1)-INDEX('Исходные кривые'!$B$12:$K$12,1,MATCH(D47,'Исходные кривые'!$B$12:$K$12,1)))))</x:f>
        <x:v>-26.454794520547946</x:v>
      </x:c>
      <x:c r="I47" s="74" t="n">
        <x:f>IF(D47&lt;=MIN('Исходные кривые'!$B$17:$L$17),INDEX('Исходные кривые'!$B$18:$L$18,1,1),IF(D47&gt;=MAX('Исходные кривые'!$B$17:$L$17),INDEX('Исходные кривые'!$B$18:$L$18,1,COLUMNS('Исходные кривые'!$B$18:$L$18)),INDEX('Исходные кривые'!$B$18:$L$18,1,MATCH(D47,'Исходные кривые'!$B$17:$L$17,1))+(D47-INDEX('Исходные кривые'!$B$17:$L$17,1,MATCH(D47,'Исходные кривые'!$B$17:$L$17,1)))*(INDEX('Исходные кривые'!$B$18:$L$18,1,MATCH(D47,'Исходные кривые'!$B$17:$L$17,1)+1)-INDEX('Исходные кривые'!$B$18:$L$18,1,MATCH(D47,'Исходные кривые'!$B$17:$L$17,1)))/(INDEX('Исходные кривые'!$B$17:$L$17,1,MATCH(D47,'Исходные кривые'!$B$17:$L$17,1)+1)-INDEX('Исходные кривые'!$B$17:$L$17,1,MATCH(D47,'Исходные кривые'!$B$17:$L$17,1)))))</x:f>
        <x:v>5.4</x:v>
      </x:c>
      <x:c r="J47" s="74" t="n">
        <x:f>IF(D47&lt;=MIN('Исходные кривые'!$B$17:$L$17),INDEX('Исходные кривые'!$B$19:$L$19,1,1),IF(D47&gt;=MAX('Исходные кривые'!$B$17:$L$17),INDEX('Исходные кривые'!$B$19:$L$19,1,COLUMNS('Исходные кривые'!$B$19:$L$19)),INDEX('Исходные кривые'!$B$19:$L$19,1,MATCH(D47,'Исходные кривые'!$B$17:$L$17,1))+(D47-INDEX('Исходные кривые'!$B$17:$L$17,1,MATCH(D47,'Исходные кривые'!$B$17:$L$17,1)))*(INDEX('Исходные кривые'!$B$19:$L$19,1,MATCH(D47,'Исходные кривые'!$B$17:$L$17,1)+1)-INDEX('Исходные кривые'!$B$19:$L$19,1,MATCH(D47,'Исходные кривые'!$B$17:$L$17,1)))/(INDEX('Исходные кривые'!$B$17:$L$17,1,MATCH(D47,'Исходные кривые'!$B$17:$L$17,1)+1)-INDEX('Исходные кривые'!$B$17:$L$17,1,MATCH(D47,'Исходные кривые'!$B$17:$L$17,1)))))</x:f>
        <x:v>-1.9</x:v>
      </x:c>
    </x:row>
    <x:row r="48">
      <x:c r="A48" s="50" t="str">
        <x:v>Новый набор — изображение 1</x:v>
      </x:c>
      <x:c r="B48" s="51" t="n">
        <x:v>48518</x:v>
      </x:c>
      <x:c r="C48" s="73" t="n">
        <x:f>B48-'Настройки'!$B$4</x:f>
        <x:v>2315</x:v>
      </x:c>
      <x:c r="D48" s="74" t="n">
        <x:f>C48/'Настройки'!$B$5</x:f>
        <x:v>6.342465753424658</x:v>
      </x:c>
      <x:c r="E48" s="74" t="n">
        <x:f>IF(D48&lt;=MIN('Исходные кривые'!$B$4:$L$4),INDEX('Исходные кривые'!$B$5:$L$5,1,1),IF(D48&gt;=MAX('Исходные кривые'!$B$4:$L$4),INDEX('Исходные кривые'!$B$5:$L$5,1,COLUMNS('Исходные кривые'!$B$5:$L$5)),INDEX('Исходные кривые'!$B$5:$L$5,1,MATCH(D48,'Исходные кривые'!$B$4:$L$4,1))+(D48-INDEX('Исходные кривые'!$B$4:$L$4,1,MATCH(D48,'Исходные кривые'!$B$4:$L$4,1)))*(INDEX('Исходные кривые'!$B$5:$L$5,1,MATCH(D48,'Исходные кривые'!$B$4:$L$4,1)+1)-INDEX('Исходные кривые'!$B$5:$L$5,1,MATCH(D48,'Исходные кривые'!$B$4:$L$4,1)))/(INDEX('Исходные кривые'!$B$4:$L$4,1,MATCH(D48,'Исходные кривые'!$B$4:$L$4,1)+1)-INDEX('Исходные кривые'!$B$4:$L$4,1,MATCH(D48,'Исходные кривые'!$B$4:$L$4,1)))))</x:f>
        <x:v>15.795890410958904</x:v>
      </x:c>
      <x:c r="F48" s="74" t="n">
        <x:f>IF(D48&lt;=MIN('Исходные кривые'!$B$8:$N$8),INDEX('Исходные кривые'!$B$9:$N$9,1,1),IF(D48&gt;=MAX('Исходные кривые'!$B$8:$N$8),INDEX('Исходные кривые'!$B$9:$N$9,1,COLUMNS('Исходные кривые'!$B$9:$N$9)),INDEX('Исходные кривые'!$B$9:$N$9,1,MATCH(D48,'Исходные кривые'!$B$8:$N$8,1))+(D48-INDEX('Исходные кривые'!$B$8:$N$8,1,MATCH(D48,'Исходные кривые'!$B$8:$N$8,1)))*(INDEX('Исходные кривые'!$B$9:$N$9,1,MATCH(D48,'Исходные кривые'!$B$8:$N$8,1)+1)-INDEX('Исходные кривые'!$B$9:$N$9,1,MATCH(D48,'Исходные кривые'!$B$8:$N$8,1)))/(INDEX('Исходные кривые'!$B$8:$N$8,1,MATCH(D48,'Исходные кривые'!$B$8:$N$8,1)+1)-INDEX('Исходные кривые'!$B$8:$N$8,1,MATCH(D48,'Исходные кривые'!$B$8:$N$8,1)))))</x:f>
        <x:v>17.795890410958904</x:v>
      </x:c>
      <x:c r="G48" s="74" t="n">
        <x:f>IF(D48&lt;=MIN('Исходные кривые'!$B$12:$K$12),INDEX('Исходные кривые'!$B$13:$K$13,1,1),IF(D48&gt;=MAX('Исходные кривые'!$B$12:$K$12),INDEX('Исходные кривые'!$B$13:$K$13,1,COLUMNS('Исходные кривые'!$B$13:$K$13)),INDEX('Исходные кривые'!$B$13:$K$13,1,MATCH(D48,'Исходные кривые'!$B$12:$K$12,1))+(D48-INDEX('Исходные кривые'!$B$12:$K$12,1,MATCH(D48,'Исходные кривые'!$B$12:$K$12,1)))*(INDEX('Исходные кривые'!$B$13:$K$13,1,MATCH(D48,'Исходные кривые'!$B$12:$K$12,1)+1)-INDEX('Исходные кривые'!$B$13:$K$13,1,MATCH(D48,'Исходные кривые'!$B$12:$K$12,1)))/(INDEX('Исходные кривые'!$B$12:$K$12,1,MATCH(D48,'Исходные кривые'!$B$12:$K$12,1)+1)-INDEX('Исходные кривые'!$B$12:$K$12,1,MATCH(D48,'Исходные кривые'!$B$12:$K$12,1)))))</x:f>
        <x:v>43.97260273972603</x:v>
      </x:c>
      <x:c r="H48" s="74" t="n">
        <x:f>IF(D48&lt;=MIN('Исходные кривые'!$B$12:$K$12),INDEX('Исходные кривые'!$B$14:$K$14,1,1),IF(D48&gt;=MAX('Исходные кривые'!$B$12:$K$12),INDEX('Исходные кривые'!$B$14:$K$14,1,COLUMNS('Исходные кривые'!$B$14:$K$14)),INDEX('Исходные кривые'!$B$14:$K$14,1,MATCH(D48,'Исходные кривые'!$B$12:$K$12,1))+(D48-INDEX('Исходные кривые'!$B$12:$K$12,1,MATCH(D48,'Исходные кривые'!$B$12:$K$12,1)))*(INDEX('Исходные кривые'!$B$14:$K$14,1,MATCH(D48,'Исходные кривые'!$B$12:$K$12,1)+1)-INDEX('Исходные кривые'!$B$14:$K$14,1,MATCH(D48,'Исходные кривые'!$B$12:$K$12,1)))/(INDEX('Исходные кривые'!$B$12:$K$12,1,MATCH(D48,'Исходные кривые'!$B$12:$K$12,1)+1)-INDEX('Исходные кривые'!$B$12:$K$12,1,MATCH(D48,'Исходные кривые'!$B$12:$K$12,1)))))</x:f>
        <x:v>-26.328767123287673</x:v>
      </x:c>
      <x:c r="I48" s="74" t="n">
        <x:f>IF(D48&lt;=MIN('Исходные кривые'!$B$17:$L$17),INDEX('Исходные кривые'!$B$18:$L$18,1,1),IF(D48&gt;=MAX('Исходные кривые'!$B$17:$L$17),INDEX('Исходные кривые'!$B$18:$L$18,1,COLUMNS('Исходные кривые'!$B$18:$L$18)),INDEX('Исходные кривые'!$B$18:$L$18,1,MATCH(D48,'Исходные кривые'!$B$17:$L$17,1))+(D48-INDEX('Исходные кривые'!$B$17:$L$17,1,MATCH(D48,'Исходные кривые'!$B$17:$L$17,1)))*(INDEX('Исходные кривые'!$B$18:$L$18,1,MATCH(D48,'Исходные кривые'!$B$17:$L$17,1)+1)-INDEX('Исходные кривые'!$B$18:$L$18,1,MATCH(D48,'Исходные кривые'!$B$17:$L$17,1)))/(INDEX('Исходные кривые'!$B$17:$L$17,1,MATCH(D48,'Исходные кривые'!$B$17:$L$17,1)+1)-INDEX('Исходные кривые'!$B$17:$L$17,1,MATCH(D48,'Исходные кривые'!$B$17:$L$17,1)))))</x:f>
        <x:v>5.4</x:v>
      </x:c>
      <x:c r="J48" s="74" t="n">
        <x:f>IF(D48&lt;=MIN('Исходные кривые'!$B$17:$L$17),INDEX('Исходные кривые'!$B$19:$L$19,1,1),IF(D48&gt;=MAX('Исходные кривые'!$B$17:$L$17),INDEX('Исходные кривые'!$B$19:$L$19,1,COLUMNS('Исходные кривые'!$B$19:$L$19)),INDEX('Исходные кривые'!$B$19:$L$19,1,MATCH(D48,'Исходные кривые'!$B$17:$L$17,1))+(D48-INDEX('Исходные кривые'!$B$17:$L$17,1,MATCH(D48,'Исходные кривые'!$B$17:$L$17,1)))*(INDEX('Исходные кривые'!$B$19:$L$19,1,MATCH(D48,'Исходные кривые'!$B$17:$L$17,1)+1)-INDEX('Исходные кривые'!$B$19:$L$19,1,MATCH(D48,'Исходные кривые'!$B$17:$L$17,1)))/(INDEX('Исходные кривые'!$B$17:$L$17,1,MATCH(D48,'Исходные кривые'!$B$17:$L$17,1)+1)-INDEX('Исходные кривые'!$B$17:$L$17,1,MATCH(D48,'Исходные кривые'!$B$17:$L$17,1)))))</x:f>
        <x:v>-1.9</x:v>
      </x:c>
    </x:row>
    <x:row r="49">
      <x:c r="A49" s="50" t="str">
        <x:v>Новый набор — изображение 1</x:v>
      </x:c>
      <x:c r="B49" s="51" t="n">
        <x:v>48610</x:v>
      </x:c>
      <x:c r="C49" s="73" t="n">
        <x:f>B49-'Настройки'!$B$4</x:f>
        <x:v>2407</x:v>
      </x:c>
      <x:c r="D49" s="74" t="n">
        <x:f>C49/'Настройки'!$B$5</x:f>
        <x:v>6.594520547945206</x:v>
      </x:c>
      <x:c r="E49" s="74" t="n">
        <x:f>IF(D49&lt;=MIN('Исходные кривые'!$B$4:$L$4),INDEX('Исходные кривые'!$B$5:$L$5,1,1),IF(D49&gt;=MAX('Исходные кривые'!$B$4:$L$4),INDEX('Исходные кривые'!$B$5:$L$5,1,COLUMNS('Исходные кривые'!$B$5:$L$5)),INDEX('Исходные кривые'!$B$5:$L$5,1,MATCH(D49,'Исходные кривые'!$B$4:$L$4,1))+(D49-INDEX('Исходные кривые'!$B$4:$L$4,1,MATCH(D49,'Исходные кривые'!$B$4:$L$4,1)))*(INDEX('Исходные кривые'!$B$5:$L$5,1,MATCH(D49,'Исходные кривые'!$B$4:$L$4,1)+1)-INDEX('Исходные кривые'!$B$5:$L$5,1,MATCH(D49,'Исходные кривые'!$B$4:$L$4,1)))/(INDEX('Исходные кривые'!$B$4:$L$4,1,MATCH(D49,'Исходные кривые'!$B$4:$L$4,1)+1)-INDEX('Исходные кривые'!$B$4:$L$4,1,MATCH(D49,'Исходные кривые'!$B$4:$L$4,1)))))</x:f>
        <x:v>15.866465753424658</x:v>
      </x:c>
      <x:c r="F49" s="74" t="n">
        <x:f>IF(D49&lt;=MIN('Исходные кривые'!$B$8:$N$8),INDEX('Исходные кривые'!$B$9:$N$9,1,1),IF(D49&gt;=MAX('Исходные кривые'!$B$8:$N$8),INDEX('Исходные кривые'!$B$9:$N$9,1,COLUMNS('Исходные кривые'!$B$9:$N$9)),INDEX('Исходные кривые'!$B$9:$N$9,1,MATCH(D49,'Исходные кривые'!$B$8:$N$8,1))+(D49-INDEX('Исходные кривые'!$B$8:$N$8,1,MATCH(D49,'Исходные кривые'!$B$8:$N$8,1)))*(INDEX('Исходные кривые'!$B$9:$N$9,1,MATCH(D49,'Исходные кривые'!$B$8:$N$8,1)+1)-INDEX('Исходные кривые'!$B$9:$N$9,1,MATCH(D49,'Исходные кривые'!$B$8:$N$8,1)))/(INDEX('Исходные кривые'!$B$8:$N$8,1,MATCH(D49,'Исходные кривые'!$B$8:$N$8,1)+1)-INDEX('Исходные кривые'!$B$8:$N$8,1,MATCH(D49,'Исходные кривые'!$B$8:$N$8,1)))))</x:f>
        <x:v>17.86646575342466</x:v>
      </x:c>
      <x:c r="G49" s="74" t="n">
        <x:f>IF(D49&lt;=MIN('Исходные кривые'!$B$12:$K$12),INDEX('Исходные кривые'!$B$13:$K$13,1,1),IF(D49&gt;=MAX('Исходные кривые'!$B$12:$K$12),INDEX('Исходные кривые'!$B$13:$K$13,1,COLUMNS('Исходные кривые'!$B$13:$K$13)),INDEX('Исходные кривые'!$B$13:$K$13,1,MATCH(D49,'Исходные кривые'!$B$12:$K$12,1))+(D49-INDEX('Исходные кривые'!$B$12:$K$12,1,MATCH(D49,'Исходные кривые'!$B$12:$K$12,1)))*(INDEX('Исходные кривые'!$B$13:$K$13,1,MATCH(D49,'Исходные кривые'!$B$12:$K$12,1)+1)-INDEX('Исходные кривые'!$B$13:$K$13,1,MATCH(D49,'Исходные кривые'!$B$12:$K$12,1)))/(INDEX('Исходные кривые'!$B$12:$K$12,1,MATCH(D49,'Исходные кривые'!$B$12:$K$12,1)+1)-INDEX('Исходные кривые'!$B$12:$K$12,1,MATCH(D49,'Исходные кривые'!$B$12:$K$12,1)))))</x:f>
        <x:v>43.21643835616438</x:v>
      </x:c>
      <x:c r="H49" s="74" t="n">
        <x:f>IF(D49&lt;=MIN('Исходные кривые'!$B$12:$K$12),INDEX('Исходные кривые'!$B$14:$K$14,1,1),IF(D49&gt;=MAX('Исходные кривые'!$B$12:$K$12),INDEX('Исходные кривые'!$B$14:$K$14,1,COLUMNS('Исходные кривые'!$B$14:$K$14)),INDEX('Исходные кривые'!$B$14:$K$14,1,MATCH(D49,'Исходные кривые'!$B$12:$K$12,1))+(D49-INDEX('Исходные кривые'!$B$12:$K$12,1,MATCH(D49,'Исходные кривые'!$B$12:$K$12,1)))*(INDEX('Исходные кривые'!$B$14:$K$14,1,MATCH(D49,'Исходные кривые'!$B$12:$K$12,1)+1)-INDEX('Исходные кривые'!$B$14:$K$14,1,MATCH(D49,'Исходные кривые'!$B$12:$K$12,1)))/(INDEX('Исходные кривые'!$B$12:$K$12,1,MATCH(D49,'Исходные кривые'!$B$12:$K$12,1)+1)-INDEX('Исходные кривые'!$B$12:$K$12,1,MATCH(D49,'Исходные кривые'!$B$12:$K$12,1)))))</x:f>
        <x:v>-26.202739726027396</x:v>
      </x:c>
      <x:c r="I49" s="74" t="n">
        <x:f>IF(D49&lt;=MIN('Исходные кривые'!$B$17:$L$17),INDEX('Исходные кривые'!$B$18:$L$18,1,1),IF(D49&gt;=MAX('Исходные кривые'!$B$17:$L$17),INDEX('Исходные кривые'!$B$18:$L$18,1,COLUMNS('Исходные кривые'!$B$18:$L$18)),INDEX('Исходные кривые'!$B$18:$L$18,1,MATCH(D49,'Исходные кривые'!$B$17:$L$17,1))+(D49-INDEX('Исходные кривые'!$B$17:$L$17,1,MATCH(D49,'Исходные кривые'!$B$17:$L$17,1)))*(INDEX('Исходные кривые'!$B$18:$L$18,1,MATCH(D49,'Исходные кривые'!$B$17:$L$17,1)+1)-INDEX('Исходные кривые'!$B$18:$L$18,1,MATCH(D49,'Исходные кривые'!$B$17:$L$17,1)))/(INDEX('Исходные кривые'!$B$17:$L$17,1,MATCH(D49,'Исходные кривые'!$B$17:$L$17,1)+1)-INDEX('Исходные кривые'!$B$17:$L$17,1,MATCH(D49,'Исходные кривые'!$B$17:$L$17,1)))))</x:f>
        <x:v>5.4</x:v>
      </x:c>
      <x:c r="J49" s="74" t="n">
        <x:f>IF(D49&lt;=MIN('Исходные кривые'!$B$17:$L$17),INDEX('Исходные кривые'!$B$19:$L$19,1,1),IF(D49&gt;=MAX('Исходные кривые'!$B$17:$L$17),INDEX('Исходные кривые'!$B$19:$L$19,1,COLUMNS('Исходные кривые'!$B$19:$L$19)),INDEX('Исходные кривые'!$B$19:$L$19,1,MATCH(D49,'Исходные кривые'!$B$17:$L$17,1))+(D49-INDEX('Исходные кривые'!$B$17:$L$17,1,MATCH(D49,'Исходные кривые'!$B$17:$L$17,1)))*(INDEX('Исходные кривые'!$B$19:$L$19,1,MATCH(D49,'Исходные кривые'!$B$17:$L$17,1)+1)-INDEX('Исходные кривые'!$B$19:$L$19,1,MATCH(D49,'Исходные кривые'!$B$17:$L$17,1)))/(INDEX('Исходные кривые'!$B$17:$L$17,1,MATCH(D49,'Исходные кривые'!$B$17:$L$17,1)+1)-INDEX('Исходные кривые'!$B$17:$L$17,1,MATCH(D49,'Исходные кривые'!$B$17:$L$17,1)))))</x:f>
        <x:v>-1.9</x:v>
      </x:c>
    </x:row>
    <x:row r="50">
      <x:c r="A50" s="50" t="str">
        <x:v>Новый набор — изображение 1</x:v>
      </x:c>
      <x:c r="B50" s="51" t="n">
        <x:v>48701</x:v>
      </x:c>
      <x:c r="C50" s="73" t="n">
        <x:f>B50-'Настройки'!$B$4</x:f>
        <x:v>2498</x:v>
      </x:c>
      <x:c r="D50" s="74" t="n">
        <x:f>C50/'Настройки'!$B$5</x:f>
        <x:v>6.843835616438356</x:v>
      </x:c>
      <x:c r="E50" s="74" t="n">
        <x:f>IF(D50&lt;=MIN('Исходные кривые'!$B$4:$L$4),INDEX('Исходные кривые'!$B$5:$L$5,1,1),IF(D50&gt;=MAX('Исходные кривые'!$B$4:$L$4),INDEX('Исходные кривые'!$B$5:$L$5,1,COLUMNS('Исходные кривые'!$B$5:$L$5)),INDEX('Исходные кривые'!$B$5:$L$5,1,MATCH(D50,'Исходные кривые'!$B$4:$L$4,1))+(D50-INDEX('Исходные кривые'!$B$4:$L$4,1,MATCH(D50,'Исходные кривые'!$B$4:$L$4,1)))*(INDEX('Исходные кривые'!$B$5:$L$5,1,MATCH(D50,'Исходные кривые'!$B$4:$L$4,1)+1)-INDEX('Исходные кривые'!$B$5:$L$5,1,MATCH(D50,'Исходные кривые'!$B$4:$L$4,1)))/(INDEX('Исходные кривые'!$B$4:$L$4,1,MATCH(D50,'Исходные кривые'!$B$4:$L$4,1)+1)-INDEX('Исходные кривые'!$B$4:$L$4,1,MATCH(D50,'Исходные кривые'!$B$4:$L$4,1)))))</x:f>
        <x:v>15.93627397260274</x:v>
      </x:c>
      <x:c r="F50" s="74" t="n">
        <x:f>IF(D50&lt;=MIN('Исходные кривые'!$B$8:$N$8),INDEX('Исходные кривые'!$B$9:$N$9,1,1),IF(D50&gt;=MAX('Исходные кривые'!$B$8:$N$8),INDEX('Исходные кривые'!$B$9:$N$9,1,COLUMNS('Исходные кривые'!$B$9:$N$9)),INDEX('Исходные кривые'!$B$9:$N$9,1,MATCH(D50,'Исходные кривые'!$B$8:$N$8,1))+(D50-INDEX('Исходные кривые'!$B$8:$N$8,1,MATCH(D50,'Исходные кривые'!$B$8:$N$8,1)))*(INDEX('Исходные кривые'!$B$9:$N$9,1,MATCH(D50,'Исходные кривые'!$B$8:$N$8,1)+1)-INDEX('Исходные кривые'!$B$9:$N$9,1,MATCH(D50,'Исходные кривые'!$B$8:$N$8,1)))/(INDEX('Исходные кривые'!$B$8:$N$8,1,MATCH(D50,'Исходные кривые'!$B$8:$N$8,1)+1)-INDEX('Исходные кривые'!$B$8:$N$8,1,MATCH(D50,'Исходные кривые'!$B$8:$N$8,1)))))</x:f>
        <x:v>17.93627397260274</x:v>
      </x:c>
      <x:c r="G50" s="74" t="n">
        <x:f>IF(D50&lt;=MIN('Исходные кривые'!$B$12:$K$12),INDEX('Исходные кривые'!$B$13:$K$13,1,1),IF(D50&gt;=MAX('Исходные кривые'!$B$12:$K$12),INDEX('Исходные кривые'!$B$13:$K$13,1,COLUMNS('Исходные кривые'!$B$13:$K$13)),INDEX('Исходные кривые'!$B$13:$K$13,1,MATCH(D50,'Исходные кривые'!$B$12:$K$12,1))+(D50-INDEX('Исходные кривые'!$B$12:$K$12,1,MATCH(D50,'Исходные кривые'!$B$12:$K$12,1)))*(INDEX('Исходные кривые'!$B$13:$K$13,1,MATCH(D50,'Исходные кривые'!$B$12:$K$12,1)+1)-INDEX('Исходные кривые'!$B$13:$K$13,1,MATCH(D50,'Исходные кривые'!$B$12:$K$12,1)))/(INDEX('Исходные кривые'!$B$12:$K$12,1,MATCH(D50,'Исходные кривые'!$B$12:$K$12,1)+1)-INDEX('Исходные кривые'!$B$12:$K$12,1,MATCH(D50,'Исходные кривые'!$B$12:$K$12,1)))))</x:f>
        <x:v>42.468493150684935</x:v>
      </x:c>
      <x:c r="H50" s="74" t="n">
        <x:f>IF(D50&lt;=MIN('Исходные кривые'!$B$12:$K$12),INDEX('Исходные кривые'!$B$14:$K$14,1,1),IF(D50&gt;=MAX('Исходные кривые'!$B$12:$K$12),INDEX('Исходные кривые'!$B$14:$K$14,1,COLUMNS('Исходные кривые'!$B$14:$K$14)),INDEX('Исходные кривые'!$B$14:$K$14,1,MATCH(D50,'Исходные кривые'!$B$12:$K$12,1))+(D50-INDEX('Исходные кривые'!$B$12:$K$12,1,MATCH(D50,'Исходные кривые'!$B$12:$K$12,1)))*(INDEX('Исходные кривые'!$B$14:$K$14,1,MATCH(D50,'Исходные кривые'!$B$12:$K$12,1)+1)-INDEX('Исходные кривые'!$B$14:$K$14,1,MATCH(D50,'Исходные кривые'!$B$12:$K$12,1)))/(INDEX('Исходные кривые'!$B$12:$K$12,1,MATCH(D50,'Исходные кривые'!$B$12:$K$12,1)+1)-INDEX('Исходные кривые'!$B$12:$K$12,1,MATCH(D50,'Исходные кривые'!$B$12:$K$12,1)))))</x:f>
        <x:v>-26.078082191780823</x:v>
      </x:c>
      <x:c r="I50" s="74" t="n">
        <x:f>IF(D50&lt;=MIN('Исходные кривые'!$B$17:$L$17),INDEX('Исходные кривые'!$B$18:$L$18,1,1),IF(D50&gt;=MAX('Исходные кривые'!$B$17:$L$17),INDEX('Исходные кривые'!$B$18:$L$18,1,COLUMNS('Исходные кривые'!$B$18:$L$18)),INDEX('Исходные кривые'!$B$18:$L$18,1,MATCH(D50,'Исходные кривые'!$B$17:$L$17,1))+(D50-INDEX('Исходные кривые'!$B$17:$L$17,1,MATCH(D50,'Исходные кривые'!$B$17:$L$17,1)))*(INDEX('Исходные кривые'!$B$18:$L$18,1,MATCH(D50,'Исходные кривые'!$B$17:$L$17,1)+1)-INDEX('Исходные кривые'!$B$18:$L$18,1,MATCH(D50,'Исходные кривые'!$B$17:$L$17,1)))/(INDEX('Исходные кривые'!$B$17:$L$17,1,MATCH(D50,'Исходные кривые'!$B$17:$L$17,1)+1)-INDEX('Исходные кривые'!$B$17:$L$17,1,MATCH(D50,'Исходные кривые'!$B$17:$L$17,1)))))</x:f>
        <x:v>5.4</x:v>
      </x:c>
      <x:c r="J50" s="74" t="n">
        <x:f>IF(D50&lt;=MIN('Исходные кривые'!$B$17:$L$17),INDEX('Исходные кривые'!$B$19:$L$19,1,1),IF(D50&gt;=MAX('Исходные кривые'!$B$17:$L$17),INDEX('Исходные кривые'!$B$19:$L$19,1,COLUMNS('Исходные кривые'!$B$19:$L$19)),INDEX('Исходные кривые'!$B$19:$L$19,1,MATCH(D50,'Исходные кривые'!$B$17:$L$17,1))+(D50-INDEX('Исходные кривые'!$B$17:$L$17,1,MATCH(D50,'Исходные кривые'!$B$17:$L$17,1)))*(INDEX('Исходные кривые'!$B$19:$L$19,1,MATCH(D50,'Исходные кривые'!$B$17:$L$17,1)+1)-INDEX('Исходные кривые'!$B$19:$L$19,1,MATCH(D50,'Исходные кривые'!$B$17:$L$17,1)))/(INDEX('Исходные кривые'!$B$17:$L$17,1,MATCH(D50,'Исходные кривые'!$B$17:$L$17,1)+1)-INDEX('Исходные кривые'!$B$17:$L$17,1,MATCH(D50,'Исходные кривые'!$B$17:$L$17,1)))))</x:f>
        <x:v>-1.9</x:v>
      </x:c>
    </x:row>
    <x:row r="51">
      <x:c r="A51" s="50" t="str">
        <x:v>Новый набор — изображение 1</x:v>
      </x:c>
      <x:c r="B51" s="51" t="n">
        <x:v>48791</x:v>
      </x:c>
      <x:c r="C51" s="73" t="n">
        <x:f>B51-'Настройки'!$B$4</x:f>
        <x:v>2588</x:v>
      </x:c>
      <x:c r="D51" s="74" t="n">
        <x:f>C51/'Настройки'!$B$5</x:f>
        <x:v>7.090410958904109</x:v>
      </x:c>
      <x:c r="E51" s="74" t="n">
        <x:f>IF(D51&lt;=MIN('Исходные кривые'!$B$4:$L$4),INDEX('Исходные кривые'!$B$5:$L$5,1,1),IF(D51&gt;=MAX('Исходные кривые'!$B$4:$L$4),INDEX('Исходные кривые'!$B$5:$L$5,1,COLUMNS('Исходные кривые'!$B$5:$L$5)),INDEX('Исходные кривые'!$B$5:$L$5,1,MATCH(D51,'Исходные кривые'!$B$4:$L$4,1))+(D51-INDEX('Исходные кривые'!$B$4:$L$4,1,MATCH(D51,'Исходные кривые'!$B$4:$L$4,1)))*(INDEX('Исходные кривые'!$B$5:$L$5,1,MATCH(D51,'Исходные кривые'!$B$4:$L$4,1)+1)-INDEX('Исходные кривые'!$B$5:$L$5,1,MATCH(D51,'Исходные кривые'!$B$4:$L$4,1)))/(INDEX('Исходные кривые'!$B$4:$L$4,1,MATCH(D51,'Исходные кривые'!$B$4:$L$4,1)+1)-INDEX('Исходные кривые'!$B$4:$L$4,1,MATCH(D51,'Исходные кривые'!$B$4:$L$4,1)))))</x:f>
        <x:v>15.992054794520548</x:v>
      </x:c>
      <x:c r="F51" s="74" t="n">
        <x:f>IF(D51&lt;=MIN('Исходные кривые'!$B$8:$N$8),INDEX('Исходные кривые'!$B$9:$N$9,1,1),IF(D51&gt;=MAX('Исходные кривые'!$B$8:$N$8),INDEX('Исходные кривые'!$B$9:$N$9,1,COLUMNS('Исходные кривые'!$B$9:$N$9)),INDEX('Исходные кривые'!$B$9:$N$9,1,MATCH(D51,'Исходные кривые'!$B$8:$N$8,1))+(D51-INDEX('Исходные кривые'!$B$8:$N$8,1,MATCH(D51,'Исходные кривые'!$B$8:$N$8,1)))*(INDEX('Исходные кривые'!$B$9:$N$9,1,MATCH(D51,'Исходные кривые'!$B$8:$N$8,1)+1)-INDEX('Исходные кривые'!$B$9:$N$9,1,MATCH(D51,'Исходные кривые'!$B$8:$N$8,1)))/(INDEX('Исходные кривые'!$B$8:$N$8,1,MATCH(D51,'Исходные кривые'!$B$8:$N$8,1)+1)-INDEX('Исходные кривые'!$B$8:$N$8,1,MATCH(D51,'Исходные кривые'!$B$8:$N$8,1)))))</x:f>
        <x:v>17.99205479452055</x:v>
      </x:c>
      <x:c r="G51" s="74" t="n">
        <x:f>IF(D51&lt;=MIN('Исходные кривые'!$B$12:$K$12),INDEX('Исходные кривые'!$B$13:$K$13,1,1),IF(D51&gt;=MAX('Исходные кривые'!$B$12:$K$12),INDEX('Исходные кривые'!$B$13:$K$13,1,COLUMNS('Исходные кривые'!$B$13:$K$13)),INDEX('Исходные кривые'!$B$13:$K$13,1,MATCH(D51,'Исходные кривые'!$B$12:$K$12,1))+(D51-INDEX('Исходные кривые'!$B$12:$K$12,1,MATCH(D51,'Исходные кривые'!$B$12:$K$12,1)))*(INDEX('Исходные кривые'!$B$13:$K$13,1,MATCH(D51,'Исходные кривые'!$B$12:$K$12,1)+1)-INDEX('Исходные кривые'!$B$13:$K$13,1,MATCH(D51,'Исходные кривые'!$B$12:$K$12,1)))/(INDEX('Исходные кривые'!$B$12:$K$12,1,MATCH(D51,'Исходные кривые'!$B$12:$K$12,1)+1)-INDEX('Исходные кривые'!$B$12:$K$12,1,MATCH(D51,'Исходные кривые'!$B$12:$K$12,1)))))</x:f>
        <x:v>41.75890410958904</x:v>
      </x:c>
      <x:c r="H51" s="74" t="n">
        <x:f>IF(D51&lt;=MIN('Исходные кривые'!$B$12:$K$12),INDEX('Исходные кривые'!$B$14:$K$14,1,1),IF(D51&gt;=MAX('Исходные кривые'!$B$12:$K$12),INDEX('Исходные кривые'!$B$14:$K$14,1,COLUMNS('Исходные кривые'!$B$14:$K$14)),INDEX('Исходные кривые'!$B$14:$K$14,1,MATCH(D51,'Исходные кривые'!$B$12:$K$12,1))+(D51-INDEX('Исходные кривые'!$B$12:$K$12,1,MATCH(D51,'Исходные кривые'!$B$12:$K$12,1)))*(INDEX('Исходные кривые'!$B$14:$K$14,1,MATCH(D51,'Исходные кривые'!$B$12:$K$12,1)+1)-INDEX('Исходные кривые'!$B$14:$K$14,1,MATCH(D51,'Исходные кривые'!$B$12:$K$12,1)))/(INDEX('Исходные кривые'!$B$12:$K$12,1,MATCH(D51,'Исходные кривые'!$B$12:$K$12,1)+1)-INDEX('Исходные кривые'!$B$12:$K$12,1,MATCH(D51,'Исходные кривые'!$B$12:$K$12,1)))))</x:f>
        <x:v>-25.93972602739726</x:v>
      </x:c>
      <x:c r="I51" s="74" t="n">
        <x:f>IF(D51&lt;=MIN('Исходные кривые'!$B$17:$L$17),INDEX('Исходные кривые'!$B$18:$L$18,1,1),IF(D51&gt;=MAX('Исходные кривые'!$B$17:$L$17),INDEX('Исходные кривые'!$B$18:$L$18,1,COLUMNS('Исходные кривые'!$B$18:$L$18)),INDEX('Исходные кривые'!$B$18:$L$18,1,MATCH(D51,'Исходные кривые'!$B$17:$L$17,1))+(D51-INDEX('Исходные кривые'!$B$17:$L$17,1,MATCH(D51,'Исходные кривые'!$B$17:$L$17,1)))*(INDEX('Исходные кривые'!$B$18:$L$18,1,MATCH(D51,'Исходные кривые'!$B$17:$L$17,1)+1)-INDEX('Исходные кривые'!$B$18:$L$18,1,MATCH(D51,'Исходные кривые'!$B$17:$L$17,1)))/(INDEX('Исходные кривые'!$B$17:$L$17,1,MATCH(D51,'Исходные кривые'!$B$17:$L$17,1)+1)-INDEX('Исходные кривые'!$B$17:$L$17,1,MATCH(D51,'Исходные кривые'!$B$17:$L$17,1)))))</x:f>
        <x:v>5.4</x:v>
      </x:c>
      <x:c r="J51" s="74" t="n">
        <x:f>IF(D51&lt;=MIN('Исходные кривые'!$B$17:$L$17),INDEX('Исходные кривые'!$B$19:$L$19,1,1),IF(D51&gt;=MAX('Исходные кривые'!$B$17:$L$17),INDEX('Исходные кривые'!$B$19:$L$19,1,COLUMNS('Исходные кривые'!$B$19:$L$19)),INDEX('Исходные кривые'!$B$19:$L$19,1,MATCH(D51,'Исходные кривые'!$B$17:$L$17,1))+(D51-INDEX('Исходные кривые'!$B$17:$L$17,1,MATCH(D51,'Исходные кривые'!$B$17:$L$17,1)))*(INDEX('Исходные кривые'!$B$19:$L$19,1,MATCH(D51,'Исходные кривые'!$B$17:$L$17,1)+1)-INDEX('Исходные кривые'!$B$19:$L$19,1,MATCH(D51,'Исходные кривые'!$B$17:$L$17,1)))/(INDEX('Исходные кривые'!$B$17:$L$17,1,MATCH(D51,'Исходные кривые'!$B$17:$L$17,1)+1)-INDEX('Исходные кривые'!$B$17:$L$17,1,MATCH(D51,'Исходные кривые'!$B$17:$L$17,1)))))</x:f>
        <x:v>-1.9</x:v>
      </x:c>
    </x:row>
    <x:row r="52">
      <x:c r="A52" s="50" t="str">
        <x:v>Новый набор — изображение 1</x:v>
      </x:c>
      <x:c r="B52" s="51" t="n">
        <x:v>48883</x:v>
      </x:c>
      <x:c r="C52" s="73" t="n">
        <x:f>B52-'Настройки'!$B$4</x:f>
        <x:v>2680</x:v>
      </x:c>
      <x:c r="D52" s="74" t="n">
        <x:f>C52/'Настройки'!$B$5</x:f>
        <x:v>7.342465753424658</x:v>
      </x:c>
      <x:c r="E52" s="74" t="n">
        <x:f>IF(D52&lt;=MIN('Исходные кривые'!$B$4:$L$4),INDEX('Исходные кривые'!$B$5:$L$5,1,1),IF(D52&gt;=MAX('Исходные кривые'!$B$4:$L$4),INDEX('Исходные кривые'!$B$5:$L$5,1,COLUMNS('Исходные кривые'!$B$5:$L$5)),INDEX('Исходные кривые'!$B$5:$L$5,1,MATCH(D52,'Исходные кривые'!$B$4:$L$4,1))+(D52-INDEX('Исходные кривые'!$B$4:$L$4,1,MATCH(D52,'Исходные кривые'!$B$4:$L$4,1)))*(INDEX('Исходные кривые'!$B$5:$L$5,1,MATCH(D52,'Исходные кривые'!$B$4:$L$4,1)+1)-INDEX('Исходные кривые'!$B$5:$L$5,1,MATCH(D52,'Исходные кривые'!$B$4:$L$4,1)))/(INDEX('Исходные кривые'!$B$4:$L$4,1,MATCH(D52,'Исходные кривые'!$B$4:$L$4,1)+1)-INDEX('Исходные кривые'!$B$4:$L$4,1,MATCH(D52,'Исходные кривые'!$B$4:$L$4,1)))))</x:f>
        <x:v>16.02566210045662</x:v>
      </x:c>
      <x:c r="F52" s="74" t="n">
        <x:f>IF(D52&lt;=MIN('Исходные кривые'!$B$8:$N$8),INDEX('Исходные кривые'!$B$9:$N$9,1,1),IF(D52&gt;=MAX('Исходные кривые'!$B$8:$N$8),INDEX('Исходные кривые'!$B$9:$N$9,1,COLUMNS('Исходные кривые'!$B$9:$N$9)),INDEX('Исходные кривые'!$B$9:$N$9,1,MATCH(D52,'Исходные кривые'!$B$8:$N$8,1))+(D52-INDEX('Исходные кривые'!$B$8:$N$8,1,MATCH(D52,'Исходные кривые'!$B$8:$N$8,1)))*(INDEX('Исходные кривые'!$B$9:$N$9,1,MATCH(D52,'Исходные кривые'!$B$8:$N$8,1)+1)-INDEX('Исходные кривые'!$B$9:$N$9,1,MATCH(D52,'Исходные кривые'!$B$8:$N$8,1)))/(INDEX('Исходные кривые'!$B$8:$N$8,1,MATCH(D52,'Исходные кривые'!$B$8:$N$8,1)+1)-INDEX('Исходные кривые'!$B$8:$N$8,1,MATCH(D52,'Исходные кривые'!$B$8:$N$8,1)))))</x:f>
        <x:v>18.02566210045662</x:v>
      </x:c>
      <x:c r="G52" s="74" t="n">
        <x:f>IF(D52&lt;=MIN('Исходные кривые'!$B$12:$K$12),INDEX('Исходные кривые'!$B$13:$K$13,1,1),IF(D52&gt;=MAX('Исходные кривые'!$B$12:$K$12),INDEX('Исходные кривые'!$B$13:$K$13,1,COLUMNS('Исходные кривые'!$B$13:$K$13)),INDEX('Исходные кривые'!$B$13:$K$13,1,MATCH(D52,'Исходные кривые'!$B$12:$K$12,1))+(D52-INDEX('Исходные кривые'!$B$12:$K$12,1,MATCH(D52,'Исходные кривые'!$B$12:$K$12,1)))*(INDEX('Исходные кривые'!$B$13:$K$13,1,MATCH(D52,'Исходные кривые'!$B$12:$K$12,1)+1)-INDEX('Исходные кривые'!$B$13:$K$13,1,MATCH(D52,'Исходные кривые'!$B$12:$K$12,1)))/(INDEX('Исходные кривые'!$B$12:$K$12,1,MATCH(D52,'Исходные кривые'!$B$12:$K$12,1)+1)-INDEX('Исходные кривые'!$B$12:$K$12,1,MATCH(D52,'Исходные кривые'!$B$12:$K$12,1)))))</x:f>
        <x:v>41.08675799086758</x:v>
      </x:c>
      <x:c r="H52" s="74" t="n">
        <x:f>IF(D52&lt;=MIN('Исходные кривые'!$B$12:$K$12),INDEX('Исходные кривые'!$B$14:$K$14,1,1),IF(D52&gt;=MAX('Исходные кривые'!$B$12:$K$12),INDEX('Исходные кривые'!$B$14:$K$14,1,COLUMNS('Исходные кривые'!$B$14:$K$14)),INDEX('Исходные кривые'!$B$14:$K$14,1,MATCH(D52,'Исходные кривые'!$B$12:$K$12,1))+(D52-INDEX('Исходные кривые'!$B$12:$K$12,1,MATCH(D52,'Исходные кривые'!$B$12:$K$12,1)))*(INDEX('Исходные кривые'!$B$14:$K$14,1,MATCH(D52,'Исходные кривые'!$B$12:$K$12,1)+1)-INDEX('Исходные кривые'!$B$14:$K$14,1,MATCH(D52,'Исходные кривые'!$B$12:$K$12,1)))/(INDEX('Исходные кривые'!$B$12:$K$12,1,MATCH(D52,'Исходные кривые'!$B$12:$K$12,1)+1)-INDEX('Исходные кривые'!$B$12:$K$12,1,MATCH(D52,'Исходные кривые'!$B$12:$K$12,1)))))</x:f>
        <x:v>-25.771689497716896</x:v>
      </x:c>
      <x:c r="I52" s="74" t="n">
        <x:f>IF(D52&lt;=MIN('Исходные кривые'!$B$17:$L$17),INDEX('Исходные кривые'!$B$18:$L$18,1,1),IF(D52&gt;=MAX('Исходные кривые'!$B$17:$L$17),INDEX('Исходные кривые'!$B$18:$L$18,1,COLUMNS('Исходные кривые'!$B$18:$L$18)),INDEX('Исходные кривые'!$B$18:$L$18,1,MATCH(D52,'Исходные кривые'!$B$17:$L$17,1))+(D52-INDEX('Исходные кривые'!$B$17:$L$17,1,MATCH(D52,'Исходные кривые'!$B$17:$L$17,1)))*(INDEX('Исходные кривые'!$B$18:$L$18,1,MATCH(D52,'Исходные кривые'!$B$17:$L$17,1)+1)-INDEX('Исходные кривые'!$B$18:$L$18,1,MATCH(D52,'Исходные кривые'!$B$17:$L$17,1)))/(INDEX('Исходные кривые'!$B$17:$L$17,1,MATCH(D52,'Исходные кривые'!$B$17:$L$17,1)+1)-INDEX('Исходные кривые'!$B$17:$L$17,1,MATCH(D52,'Исходные кривые'!$B$17:$L$17,1)))))</x:f>
        <x:v>5.4</x:v>
      </x:c>
      <x:c r="J52" s="74" t="n">
        <x:f>IF(D52&lt;=MIN('Исходные кривые'!$B$17:$L$17),INDEX('Исходные кривые'!$B$19:$L$19,1,1),IF(D52&gt;=MAX('Исходные кривые'!$B$17:$L$17),INDEX('Исходные кривые'!$B$19:$L$19,1,COLUMNS('Исходные кривые'!$B$19:$L$19)),INDEX('Исходные кривые'!$B$19:$L$19,1,MATCH(D52,'Исходные кривые'!$B$17:$L$17,1))+(D52-INDEX('Исходные кривые'!$B$17:$L$17,1,MATCH(D52,'Исходные кривые'!$B$17:$L$17,1)))*(INDEX('Исходные кривые'!$B$19:$L$19,1,MATCH(D52,'Исходные кривые'!$B$17:$L$17,1)+1)-INDEX('Исходные кривые'!$B$19:$L$19,1,MATCH(D52,'Исходные кривые'!$B$17:$L$17,1)))/(INDEX('Исходные кривые'!$B$17:$L$17,1,MATCH(D52,'Исходные кривые'!$B$17:$L$17,1)+1)-INDEX('Исходные кривые'!$B$17:$L$17,1,MATCH(D52,'Исходные кривые'!$B$17:$L$17,1)))))</x:f>
        <x:v>-1.9</x:v>
      </x:c>
    </x:row>
    <x:row r="53">
      <x:c r="A53" s="50" t="str">
        <x:v>Новый набор — изображение 1</x:v>
      </x:c>
      <x:c r="B53" s="51" t="n">
        <x:v>48975</x:v>
      </x:c>
      <x:c r="C53" s="73" t="n">
        <x:f>B53-'Настройки'!$B$4</x:f>
        <x:v>2772</x:v>
      </x:c>
      <x:c r="D53" s="74" t="n">
        <x:f>C53/'Настройки'!$B$5</x:f>
        <x:v>7.594520547945206</x:v>
      </x:c>
      <x:c r="E53" s="74" t="n">
        <x:f>IF(D53&lt;=MIN('Исходные кривые'!$B$4:$L$4),INDEX('Исходные кривые'!$B$5:$L$5,1,1),IF(D53&gt;=MAX('Исходные кривые'!$B$4:$L$4),INDEX('Исходные кривые'!$B$5:$L$5,1,COLUMNS('Исходные кривые'!$B$5:$L$5)),INDEX('Исходные кривые'!$B$5:$L$5,1,MATCH(D53,'Исходные кривые'!$B$4:$L$4,1))+(D53-INDEX('Исходные кривые'!$B$4:$L$4,1,MATCH(D53,'Исходные кривые'!$B$4:$L$4,1)))*(INDEX('Исходные кривые'!$B$5:$L$5,1,MATCH(D53,'Исходные кривые'!$B$4:$L$4,1)+1)-INDEX('Исходные кривые'!$B$5:$L$5,1,MATCH(D53,'Исходные кривые'!$B$4:$L$4,1)))/(INDEX('Исходные кривые'!$B$4:$L$4,1,MATCH(D53,'Исходные кривые'!$B$4:$L$4,1)+1)-INDEX('Исходные кривые'!$B$4:$L$4,1,MATCH(D53,'Исходные кривые'!$B$4:$L$4,1)))))</x:f>
        <x:v>16.059269406392694</x:v>
      </x:c>
      <x:c r="F53" s="74" t="n">
        <x:f>IF(D53&lt;=MIN('Исходные кривые'!$B$8:$N$8),INDEX('Исходные кривые'!$B$9:$N$9,1,1),IF(D53&gt;=MAX('Исходные кривые'!$B$8:$N$8),INDEX('Исходные кривые'!$B$9:$N$9,1,COLUMNS('Исходные кривые'!$B$9:$N$9)),INDEX('Исходные кривые'!$B$9:$N$9,1,MATCH(D53,'Исходные кривые'!$B$8:$N$8,1))+(D53-INDEX('Исходные кривые'!$B$8:$N$8,1,MATCH(D53,'Исходные кривые'!$B$8:$N$8,1)))*(INDEX('Исходные кривые'!$B$9:$N$9,1,MATCH(D53,'Исходные кривые'!$B$8:$N$8,1)+1)-INDEX('Исходные кривые'!$B$9:$N$9,1,MATCH(D53,'Исходные кривые'!$B$8:$N$8,1)))/(INDEX('Исходные кривые'!$B$8:$N$8,1,MATCH(D53,'Исходные кривые'!$B$8:$N$8,1)+1)-INDEX('Исходные кривые'!$B$8:$N$8,1,MATCH(D53,'Исходные кривые'!$B$8:$N$8,1)))))</x:f>
        <x:v>18.059269406392694</x:v>
      </x:c>
      <x:c r="G53" s="74" t="n">
        <x:f>IF(D53&lt;=MIN('Исходные кривые'!$B$12:$K$12),INDEX('Исходные кривые'!$B$13:$K$13,1,1),IF(D53&gt;=MAX('Исходные кривые'!$B$12:$K$12),INDEX('Исходные кривые'!$B$13:$K$13,1,COLUMNS('Исходные кривые'!$B$13:$K$13)),INDEX('Исходные кривые'!$B$13:$K$13,1,MATCH(D53,'Исходные кривые'!$B$12:$K$12,1))+(D53-INDEX('Исходные кривые'!$B$12:$K$12,1,MATCH(D53,'Исходные кривые'!$B$12:$K$12,1)))*(INDEX('Исходные кривые'!$B$13:$K$13,1,MATCH(D53,'Исходные кривые'!$B$12:$K$12,1)+1)-INDEX('Исходные кривые'!$B$13:$K$13,1,MATCH(D53,'Исходные кривые'!$B$12:$K$12,1)))/(INDEX('Исходные кривые'!$B$12:$K$12,1,MATCH(D53,'Исходные кривые'!$B$12:$K$12,1)+1)-INDEX('Исходные кривые'!$B$12:$K$12,1,MATCH(D53,'Исходные кривые'!$B$12:$K$12,1)))))</x:f>
        <x:v>40.41461187214612</x:v>
      </x:c>
      <x:c r="H53" s="74" t="n">
        <x:f>IF(D53&lt;=MIN('Исходные кривые'!$B$12:$K$12),INDEX('Исходные кривые'!$B$14:$K$14,1,1),IF(D53&gt;=MAX('Исходные кривые'!$B$12:$K$12),INDEX('Исходные кривые'!$B$14:$K$14,1,COLUMNS('Исходные кривые'!$B$14:$K$14)),INDEX('Исходные кривые'!$B$14:$K$14,1,MATCH(D53,'Исходные кривые'!$B$12:$K$12,1))+(D53-INDEX('Исходные кривые'!$B$12:$K$12,1,MATCH(D53,'Исходные кривые'!$B$12:$K$12,1)))*(INDEX('Исходные кривые'!$B$14:$K$14,1,MATCH(D53,'Исходные кривые'!$B$12:$K$12,1)+1)-INDEX('Исходные кривые'!$B$14:$K$14,1,MATCH(D53,'Исходные кривые'!$B$12:$K$12,1)))/(INDEX('Исходные кривые'!$B$12:$K$12,1,MATCH(D53,'Исходные кривые'!$B$12:$K$12,1)+1)-INDEX('Исходные кривые'!$B$12:$K$12,1,MATCH(D53,'Исходные кривые'!$B$12:$K$12,1)))))</x:f>
        <x:v>-25.603652968036528</x:v>
      </x:c>
      <x:c r="I53" s="74" t="n">
        <x:f>IF(D53&lt;=MIN('Исходные кривые'!$B$17:$L$17),INDEX('Исходные кривые'!$B$18:$L$18,1,1),IF(D53&gt;=MAX('Исходные кривые'!$B$17:$L$17),INDEX('Исходные кривые'!$B$18:$L$18,1,COLUMNS('Исходные кривые'!$B$18:$L$18)),INDEX('Исходные кривые'!$B$18:$L$18,1,MATCH(D53,'Исходные кривые'!$B$17:$L$17,1))+(D53-INDEX('Исходные кривые'!$B$17:$L$17,1,MATCH(D53,'Исходные кривые'!$B$17:$L$17,1)))*(INDEX('Исходные кривые'!$B$18:$L$18,1,MATCH(D53,'Исходные кривые'!$B$17:$L$17,1)+1)-INDEX('Исходные кривые'!$B$18:$L$18,1,MATCH(D53,'Исходные кривые'!$B$17:$L$17,1)))/(INDEX('Исходные кривые'!$B$17:$L$17,1,MATCH(D53,'Исходные кривые'!$B$17:$L$17,1)+1)-INDEX('Исходные кривые'!$B$17:$L$17,1,MATCH(D53,'Исходные кривые'!$B$17:$L$17,1)))))</x:f>
        <x:v>5.4</x:v>
      </x:c>
      <x:c r="J53" s="74" t="n">
        <x:f>IF(D53&lt;=MIN('Исходные кривые'!$B$17:$L$17),INDEX('Исходные кривые'!$B$19:$L$19,1,1),IF(D53&gt;=MAX('Исходные кривые'!$B$17:$L$17),INDEX('Исходные кривые'!$B$19:$L$19,1,COLUMNS('Исходные кривые'!$B$19:$L$19)),INDEX('Исходные кривые'!$B$19:$L$19,1,MATCH(D53,'Исходные кривые'!$B$17:$L$17,1))+(D53-INDEX('Исходные кривые'!$B$17:$L$17,1,MATCH(D53,'Исходные кривые'!$B$17:$L$17,1)))*(INDEX('Исходные кривые'!$B$19:$L$19,1,MATCH(D53,'Исходные кривые'!$B$17:$L$17,1)+1)-INDEX('Исходные кривые'!$B$19:$L$19,1,MATCH(D53,'Исходные кривые'!$B$17:$L$17,1)))/(INDEX('Исходные кривые'!$B$17:$L$17,1,MATCH(D53,'Исходные кривые'!$B$17:$L$17,1)+1)-INDEX('Исходные кривые'!$B$17:$L$17,1,MATCH(D53,'Исходные кривые'!$B$17:$L$17,1)))))</x:f>
        <x:v>-1.9</x:v>
      </x:c>
    </x:row>
    <x:row r="54">
      <x:c r="A54" s="50" t="str">
        <x:v>Новый набор — изображение 1</x:v>
      </x:c>
      <x:c r="B54" s="51" t="n">
        <x:v>49066</x:v>
      </x:c>
      <x:c r="C54" s="73" t="n">
        <x:f>B54-'Настройки'!$B$4</x:f>
        <x:v>2863</x:v>
      </x:c>
      <x:c r="D54" s="74" t="n">
        <x:f>C54/'Настройки'!$B$5</x:f>
        <x:v>7.843835616438356</x:v>
      </x:c>
      <x:c r="E54" s="74" t="n">
        <x:f>IF(D54&lt;=MIN('Исходные кривые'!$B$4:$L$4),INDEX('Исходные кривые'!$B$5:$L$5,1,1),IF(D54&gt;=MAX('Исходные кривые'!$B$4:$L$4),INDEX('Исходные кривые'!$B$5:$L$5,1,COLUMNS('Исходные кривые'!$B$5:$L$5)),INDEX('Исходные кривые'!$B$5:$L$5,1,MATCH(D54,'Исходные кривые'!$B$4:$L$4,1))+(D54-INDEX('Исходные кривые'!$B$4:$L$4,1,MATCH(D54,'Исходные кривые'!$B$4:$L$4,1)))*(INDEX('Исходные кривые'!$B$5:$L$5,1,MATCH(D54,'Исходные кривые'!$B$4:$L$4,1)+1)-INDEX('Исходные кривые'!$B$5:$L$5,1,MATCH(D54,'Исходные кривые'!$B$4:$L$4,1)))/(INDEX('Исходные кривые'!$B$4:$L$4,1,MATCH(D54,'Исходные кривые'!$B$4:$L$4,1)+1)-INDEX('Исходные кривые'!$B$4:$L$4,1,MATCH(D54,'Исходные кривые'!$B$4:$L$4,1)))))</x:f>
        <x:v>16.092511415525113</x:v>
      </x:c>
      <x:c r="F54" s="74" t="n">
        <x:f>IF(D54&lt;=MIN('Исходные кривые'!$B$8:$N$8),INDEX('Исходные кривые'!$B$9:$N$9,1,1),IF(D54&gt;=MAX('Исходные кривые'!$B$8:$N$8),INDEX('Исходные кривые'!$B$9:$N$9,1,COLUMNS('Исходные кривые'!$B$9:$N$9)),INDEX('Исходные кривые'!$B$9:$N$9,1,MATCH(D54,'Исходные кривые'!$B$8:$N$8,1))+(D54-INDEX('Исходные кривые'!$B$8:$N$8,1,MATCH(D54,'Исходные кривые'!$B$8:$N$8,1)))*(INDEX('Исходные кривые'!$B$9:$N$9,1,MATCH(D54,'Исходные кривые'!$B$8:$N$8,1)+1)-INDEX('Исходные кривые'!$B$9:$N$9,1,MATCH(D54,'Исходные кривые'!$B$8:$N$8,1)))/(INDEX('Исходные кривые'!$B$8:$N$8,1,MATCH(D54,'Исходные кривые'!$B$8:$N$8,1)+1)-INDEX('Исходные кривые'!$B$8:$N$8,1,MATCH(D54,'Исходные кривые'!$B$8:$N$8,1)))))</x:f>
        <x:v>18.092511415525113</x:v>
      </x:c>
      <x:c r="G54" s="74" t="n">
        <x:f>IF(D54&lt;=MIN('Исходные кривые'!$B$12:$K$12),INDEX('Исходные кривые'!$B$13:$K$13,1,1),IF(D54&gt;=MAX('Исходные кривые'!$B$12:$K$12),INDEX('Исходные кривые'!$B$13:$K$13,1,COLUMNS('Исходные кривые'!$B$13:$K$13)),INDEX('Исходные кривые'!$B$13:$K$13,1,MATCH(D54,'Исходные кривые'!$B$12:$K$12,1))+(D54-INDEX('Исходные кривые'!$B$12:$K$12,1,MATCH(D54,'Исходные кривые'!$B$12:$K$12,1)))*(INDEX('Исходные кривые'!$B$13:$K$13,1,MATCH(D54,'Исходные кривые'!$B$12:$K$12,1)+1)-INDEX('Исходные кривые'!$B$13:$K$13,1,MATCH(D54,'Исходные кривые'!$B$12:$K$12,1)))/(INDEX('Исходные кривые'!$B$12:$K$12,1,MATCH(D54,'Исходные кривые'!$B$12:$K$12,1)+1)-INDEX('Исходные кривые'!$B$12:$K$12,1,MATCH(D54,'Исходные кривые'!$B$12:$K$12,1)))))</x:f>
        <x:v>39.74977168949772</x:v>
      </x:c>
      <x:c r="H54" s="74" t="n">
        <x:f>IF(D54&lt;=MIN('Исходные кривые'!$B$12:$K$12),INDEX('Исходные кривые'!$B$14:$K$14,1,1),IF(D54&gt;=MAX('Исходные кривые'!$B$12:$K$12),INDEX('Исходные кривые'!$B$14:$K$14,1,COLUMNS('Исходные кривые'!$B$14:$K$14)),INDEX('Исходные кривые'!$B$14:$K$14,1,MATCH(D54,'Исходные кривые'!$B$12:$K$12,1))+(D54-INDEX('Исходные кривые'!$B$12:$K$12,1,MATCH(D54,'Исходные кривые'!$B$12:$K$12,1)))*(INDEX('Исходные кривые'!$B$14:$K$14,1,MATCH(D54,'Исходные кривые'!$B$12:$K$12,1)+1)-INDEX('Исходные кривые'!$B$14:$K$14,1,MATCH(D54,'Исходные кривые'!$B$12:$K$12,1)))/(INDEX('Исходные кривые'!$B$12:$K$12,1,MATCH(D54,'Исходные кривые'!$B$12:$K$12,1)+1)-INDEX('Исходные кривые'!$B$12:$K$12,1,MATCH(D54,'Исходные кривые'!$B$12:$K$12,1)))))</x:f>
        <x:v>-25.43744292237443</x:v>
      </x:c>
      <x:c r="I54" s="74" t="n">
        <x:f>IF(D54&lt;=MIN('Исходные кривые'!$B$17:$L$17),INDEX('Исходные кривые'!$B$18:$L$18,1,1),IF(D54&gt;=MAX('Исходные кривые'!$B$17:$L$17),INDEX('Исходные кривые'!$B$18:$L$18,1,COLUMNS('Исходные кривые'!$B$18:$L$18)),INDEX('Исходные кривые'!$B$18:$L$18,1,MATCH(D54,'Исходные кривые'!$B$17:$L$17,1))+(D54-INDEX('Исходные кривые'!$B$17:$L$17,1,MATCH(D54,'Исходные кривые'!$B$17:$L$17,1)))*(INDEX('Исходные кривые'!$B$18:$L$18,1,MATCH(D54,'Исходные кривые'!$B$17:$L$17,1)+1)-INDEX('Исходные кривые'!$B$18:$L$18,1,MATCH(D54,'Исходные кривые'!$B$17:$L$17,1)))/(INDEX('Исходные кривые'!$B$17:$L$17,1,MATCH(D54,'Исходные кривые'!$B$17:$L$17,1)+1)-INDEX('Исходные кривые'!$B$17:$L$17,1,MATCH(D54,'Исходные кривые'!$B$17:$L$17,1)))))</x:f>
        <x:v>5.4</x:v>
      </x:c>
      <x:c r="J54" s="74" t="n">
        <x:f>IF(D54&lt;=MIN('Исходные кривые'!$B$17:$L$17),INDEX('Исходные кривые'!$B$19:$L$19,1,1),IF(D54&gt;=MAX('Исходные кривые'!$B$17:$L$17),INDEX('Исходные кривые'!$B$19:$L$19,1,COLUMNS('Исходные кривые'!$B$19:$L$19)),INDEX('Исходные кривые'!$B$19:$L$19,1,MATCH(D54,'Исходные кривые'!$B$17:$L$17,1))+(D54-INDEX('Исходные кривые'!$B$17:$L$17,1,MATCH(D54,'Исходные кривые'!$B$17:$L$17,1)))*(INDEX('Исходные кривые'!$B$19:$L$19,1,MATCH(D54,'Исходные кривые'!$B$17:$L$17,1)+1)-INDEX('Исходные кривые'!$B$19:$L$19,1,MATCH(D54,'Исходные кривые'!$B$17:$L$17,1)))/(INDEX('Исходные кривые'!$B$17:$L$17,1,MATCH(D54,'Исходные кривые'!$B$17:$L$17,1)+1)-INDEX('Исходные кривые'!$B$17:$L$17,1,MATCH(D54,'Исходные кривые'!$B$17:$L$17,1)))))</x:f>
        <x:v>-1.9</x:v>
      </x:c>
    </x:row>
    <x:row r="55">
      <x:c r="A55" s="50" t="str">
        <x:v>Новый набор — изображение 1</x:v>
      </x:c>
      <x:c r="B55" s="51" t="n">
        <x:v>49156</x:v>
      </x:c>
      <x:c r="C55" s="73" t="n">
        <x:f>B55-'Настройки'!$B$4</x:f>
        <x:v>2953</x:v>
      </x:c>
      <x:c r="D55" s="74" t="n">
        <x:f>C55/'Настройки'!$B$5</x:f>
        <x:v>8.09041095890411</x:v>
      </x:c>
      <x:c r="E55" s="74" t="n">
        <x:f>IF(D55&lt;=MIN('Исходные кривые'!$B$4:$L$4),INDEX('Исходные кривые'!$B$5:$L$5,1,1),IF(D55&gt;=MAX('Исходные кривые'!$B$4:$L$4),INDEX('Исходные кривые'!$B$5:$L$5,1,COLUMNS('Исходные кривые'!$B$5:$L$5)),INDEX('Исходные кривые'!$B$5:$L$5,1,MATCH(D55,'Исходные кривые'!$B$4:$L$4,1))+(D55-INDEX('Исходные кривые'!$B$4:$L$4,1,MATCH(D55,'Исходные кривые'!$B$4:$L$4,1)))*(INDEX('Исходные кривые'!$B$5:$L$5,1,MATCH(D55,'Исходные кривые'!$B$4:$L$4,1)+1)-INDEX('Исходные кривые'!$B$5:$L$5,1,MATCH(D55,'Исходные кривые'!$B$4:$L$4,1)))/(INDEX('Исходные кривые'!$B$4:$L$4,1,MATCH(D55,'Исходные кривые'!$B$4:$L$4,1)+1)-INDEX('Исходные кривые'!$B$4:$L$4,1,MATCH(D55,'Исходные кривые'!$B$4:$L$4,1)))))</x:f>
        <x:v>16.12538812785388</x:v>
      </x:c>
      <x:c r="F55" s="74" t="n">
        <x:f>IF(D55&lt;=MIN('Исходные кривые'!$B$8:$N$8),INDEX('Исходные кривые'!$B$9:$N$9,1,1),IF(D55&gt;=MAX('Исходные кривые'!$B$8:$N$8),INDEX('Исходные кривые'!$B$9:$N$9,1,COLUMNS('Исходные кривые'!$B$9:$N$9)),INDEX('Исходные кривые'!$B$9:$N$9,1,MATCH(D55,'Исходные кривые'!$B$8:$N$8,1))+(D55-INDEX('Исходные кривые'!$B$8:$N$8,1,MATCH(D55,'Исходные кривые'!$B$8:$N$8,1)))*(INDEX('Исходные кривые'!$B$9:$N$9,1,MATCH(D55,'Исходные кривые'!$B$8:$N$8,1)+1)-INDEX('Исходные кривые'!$B$9:$N$9,1,MATCH(D55,'Исходные кривые'!$B$8:$N$8,1)))/(INDEX('Исходные кривые'!$B$8:$N$8,1,MATCH(D55,'Исходные кривые'!$B$8:$N$8,1)+1)-INDEX('Исходные кривые'!$B$8:$N$8,1,MATCH(D55,'Исходные кривые'!$B$8:$N$8,1)))))</x:f>
        <x:v>18.12538812785388</x:v>
      </x:c>
      <x:c r="G55" s="74" t="n">
        <x:f>IF(D55&lt;=MIN('Исходные кривые'!$B$12:$K$12),INDEX('Исходные кривые'!$B$13:$K$13,1,1),IF(D55&gt;=MAX('Исходные кривые'!$B$12:$K$12),INDEX('Исходные кривые'!$B$13:$K$13,1,COLUMNS('Исходные кривые'!$B$13:$K$13)),INDEX('Исходные кривые'!$B$13:$K$13,1,MATCH(D55,'Исходные кривые'!$B$12:$K$12,1))+(D55-INDEX('Исходные кривые'!$B$12:$K$12,1,MATCH(D55,'Исходные кривые'!$B$12:$K$12,1)))*(INDEX('Исходные кривые'!$B$13:$K$13,1,MATCH(D55,'Исходные кривые'!$B$12:$K$12,1)+1)-INDEX('Исходные кривые'!$B$13:$K$13,1,MATCH(D55,'Исходные кривые'!$B$12:$K$12,1)))/(INDEX('Исходные кривые'!$B$12:$K$12,1,MATCH(D55,'Исходные кривые'!$B$12:$K$12,1)+1)-INDEX('Исходные кривые'!$B$12:$K$12,1,MATCH(D55,'Исходные кривые'!$B$12:$K$12,1)))))</x:f>
        <x:v>39.092237442922375</x:v>
      </x:c>
      <x:c r="H55" s="74" t="n">
        <x:f>IF(D55&lt;=MIN('Исходные кривые'!$B$12:$K$12),INDEX('Исходные кривые'!$B$14:$K$14,1,1),IF(D55&gt;=MAX('Исходные кривые'!$B$12:$K$12),INDEX('Исходные кривые'!$B$14:$K$14,1,COLUMNS('Исходные кривые'!$B$14:$K$14)),INDEX('Исходные кривые'!$B$14:$K$14,1,MATCH(D55,'Исходные кривые'!$B$12:$K$12,1))+(D55-INDEX('Исходные кривые'!$B$12:$K$12,1,MATCH(D55,'Исходные кривые'!$B$12:$K$12,1)))*(INDEX('Исходные кривые'!$B$14:$K$14,1,MATCH(D55,'Исходные кривые'!$B$12:$K$12,1)+1)-INDEX('Исходные кривые'!$B$14:$K$14,1,MATCH(D55,'Исходные кривые'!$B$12:$K$12,1)))/(INDEX('Исходные кривые'!$B$12:$K$12,1,MATCH(D55,'Исходные кривые'!$B$12:$K$12,1)+1)-INDEX('Исходные кривые'!$B$12:$K$12,1,MATCH(D55,'Исходные кривые'!$B$12:$K$12,1)))))</x:f>
        <x:v>-25.273059360730592</x:v>
      </x:c>
      <x:c r="I55" s="74" t="n">
        <x:f>IF(D55&lt;=MIN('Исходные кривые'!$B$17:$L$17),INDEX('Исходные кривые'!$B$18:$L$18,1,1),IF(D55&gt;=MAX('Исходные кривые'!$B$17:$L$17),INDEX('Исходные кривые'!$B$18:$L$18,1,COLUMNS('Исходные кривые'!$B$18:$L$18)),INDEX('Исходные кривые'!$B$18:$L$18,1,MATCH(D55,'Исходные кривые'!$B$17:$L$17,1))+(D55-INDEX('Исходные кривые'!$B$17:$L$17,1,MATCH(D55,'Исходные кривые'!$B$17:$L$17,1)))*(INDEX('Исходные кривые'!$B$18:$L$18,1,MATCH(D55,'Исходные кривые'!$B$17:$L$17,1)+1)-INDEX('Исходные кривые'!$B$18:$L$18,1,MATCH(D55,'Исходные кривые'!$B$17:$L$17,1)))/(INDEX('Исходные кривые'!$B$17:$L$17,1,MATCH(D55,'Исходные кривые'!$B$17:$L$17,1)+1)-INDEX('Исходные кривые'!$B$17:$L$17,1,MATCH(D55,'Исходные кривые'!$B$17:$L$17,1)))))</x:f>
        <x:v>5.4</x:v>
      </x:c>
      <x:c r="J55" s="74" t="n">
        <x:f>IF(D55&lt;=MIN('Исходные кривые'!$B$17:$L$17),INDEX('Исходные кривые'!$B$19:$L$19,1,1),IF(D55&gt;=MAX('Исходные кривые'!$B$17:$L$17),INDEX('Исходные кривые'!$B$19:$L$19,1,COLUMNS('Исходные кривые'!$B$19:$L$19)),INDEX('Исходные кривые'!$B$19:$L$19,1,MATCH(D55,'Исходные кривые'!$B$17:$L$17,1))+(D55-INDEX('Исходные кривые'!$B$17:$L$17,1,MATCH(D55,'Исходные кривые'!$B$17:$L$17,1)))*(INDEX('Исходные кривые'!$B$19:$L$19,1,MATCH(D55,'Исходные кривые'!$B$17:$L$17,1)+1)-INDEX('Исходные кривые'!$B$19:$L$19,1,MATCH(D55,'Исходные кривые'!$B$17:$L$17,1)))/(INDEX('Исходные кривые'!$B$17:$L$17,1,MATCH(D55,'Исходные кривые'!$B$17:$L$17,1)+1)-INDEX('Исходные кривые'!$B$17:$L$17,1,MATCH(D55,'Исходные кривые'!$B$17:$L$17,1)))))</x:f>
        <x:v>-1.9</x:v>
      </x:c>
    </x:row>
    <x:row r="56">
      <x:c r="A56" s="50" t="str">
        <x:v>Новый набор — изображение 1</x:v>
      </x:c>
      <x:c r="B56" s="51" t="n">
        <x:v>49248</x:v>
      </x:c>
      <x:c r="C56" s="73" t="n">
        <x:f>B56-'Настройки'!$B$4</x:f>
        <x:v>3045</x:v>
      </x:c>
      <x:c r="D56" s="74" t="n">
        <x:f>C56/'Настройки'!$B$5</x:f>
        <x:v>8.342465753424657</x:v>
      </x:c>
      <x:c r="E56" s="74" t="n">
        <x:f>IF(D56&lt;=MIN('Исходные кривые'!$B$4:$L$4),INDEX('Исходные кривые'!$B$5:$L$5,1,1),IF(D56&gt;=MAX('Исходные кривые'!$B$4:$L$4),INDEX('Исходные кривые'!$B$5:$L$5,1,COLUMNS('Исходные кривые'!$B$5:$L$5)),INDEX('Исходные кривые'!$B$5:$L$5,1,MATCH(D56,'Исходные кривые'!$B$4:$L$4,1))+(D56-INDEX('Исходные кривые'!$B$4:$L$4,1,MATCH(D56,'Исходные кривые'!$B$4:$L$4,1)))*(INDEX('Исходные кривые'!$B$5:$L$5,1,MATCH(D56,'Исходные кривые'!$B$4:$L$4,1)+1)-INDEX('Исходные кривые'!$B$5:$L$5,1,MATCH(D56,'Исходные кривые'!$B$4:$L$4,1)))/(INDEX('Исходные кривые'!$B$4:$L$4,1,MATCH(D56,'Исходные кривые'!$B$4:$L$4,1)+1)-INDEX('Исходные кривые'!$B$4:$L$4,1,MATCH(D56,'Исходные кривые'!$B$4:$L$4,1)))))</x:f>
        <x:v>16.158995433789954</x:v>
      </x:c>
      <x:c r="F56" s="74" t="n">
        <x:f>IF(D56&lt;=MIN('Исходные кривые'!$B$8:$N$8),INDEX('Исходные кривые'!$B$9:$N$9,1,1),IF(D56&gt;=MAX('Исходные кривые'!$B$8:$N$8),INDEX('Исходные кривые'!$B$9:$N$9,1,COLUMNS('Исходные кривые'!$B$9:$N$9)),INDEX('Исходные кривые'!$B$9:$N$9,1,MATCH(D56,'Исходные кривые'!$B$8:$N$8,1))+(D56-INDEX('Исходные кривые'!$B$8:$N$8,1,MATCH(D56,'Исходные кривые'!$B$8:$N$8,1)))*(INDEX('Исходные кривые'!$B$9:$N$9,1,MATCH(D56,'Исходные кривые'!$B$8:$N$8,1)+1)-INDEX('Исходные кривые'!$B$9:$N$9,1,MATCH(D56,'Исходные кривые'!$B$8:$N$8,1)))/(INDEX('Исходные кривые'!$B$8:$N$8,1,MATCH(D56,'Исходные кривые'!$B$8:$N$8,1)+1)-INDEX('Исходные кривые'!$B$8:$N$8,1,MATCH(D56,'Исходные кривые'!$B$8:$N$8,1)))))</x:f>
        <x:v>18.158995433789954</x:v>
      </x:c>
      <x:c r="G56" s="74" t="n">
        <x:f>IF(D56&lt;=MIN('Исходные кривые'!$B$12:$K$12),INDEX('Исходные кривые'!$B$13:$K$13,1,1),IF(D56&gt;=MAX('Исходные кривые'!$B$12:$K$12),INDEX('Исходные кривые'!$B$13:$K$13,1,COLUMNS('Исходные кривые'!$B$13:$K$13)),INDEX('Исходные кривые'!$B$13:$K$13,1,MATCH(D56,'Исходные кривые'!$B$12:$K$12,1))+(D56-INDEX('Исходные кривые'!$B$12:$K$12,1,MATCH(D56,'Исходные кривые'!$B$12:$K$12,1)))*(INDEX('Исходные кривые'!$B$13:$K$13,1,MATCH(D56,'Исходные кривые'!$B$12:$K$12,1)+1)-INDEX('Исходные кривые'!$B$13:$K$13,1,MATCH(D56,'Исходные кривые'!$B$12:$K$12,1)))/(INDEX('Исходные кривые'!$B$12:$K$12,1,MATCH(D56,'Исходные кривые'!$B$12:$K$12,1)+1)-INDEX('Исходные кривые'!$B$12:$K$12,1,MATCH(D56,'Исходные кривые'!$B$12:$K$12,1)))))</x:f>
        <x:v>38.42009132420092</x:v>
      </x:c>
      <x:c r="H56" s="74" t="n">
        <x:f>IF(D56&lt;=MIN('Исходные кривые'!$B$12:$K$12),INDEX('Исходные кривые'!$B$14:$K$14,1,1),IF(D56&gt;=MAX('Исходные кривые'!$B$12:$K$12),INDEX('Исходные кривые'!$B$14:$K$14,1,COLUMNS('Исходные кривые'!$B$14:$K$14)),INDEX('Исходные кривые'!$B$14:$K$14,1,MATCH(D56,'Исходные кривые'!$B$12:$K$12,1))+(D56-INDEX('Исходные кривые'!$B$12:$K$12,1,MATCH(D56,'Исходные кривые'!$B$12:$K$12,1)))*(INDEX('Исходные кривые'!$B$14:$K$14,1,MATCH(D56,'Исходные кривые'!$B$12:$K$12,1)+1)-INDEX('Исходные кривые'!$B$14:$K$14,1,MATCH(D56,'Исходные кривые'!$B$12:$K$12,1)))/(INDEX('Исходные кривые'!$B$12:$K$12,1,MATCH(D56,'Исходные кривые'!$B$12:$K$12,1)+1)-INDEX('Исходные кривые'!$B$12:$K$12,1,MATCH(D56,'Исходные кривые'!$B$12:$K$12,1)))))</x:f>
        <x:v>-25.105022831050228</x:v>
      </x:c>
      <x:c r="I56" s="74" t="n">
        <x:f>IF(D56&lt;=MIN('Исходные кривые'!$B$17:$L$17),INDEX('Исходные кривые'!$B$18:$L$18,1,1),IF(D56&gt;=MAX('Исходные кривые'!$B$17:$L$17),INDEX('Исходные кривые'!$B$18:$L$18,1,COLUMNS('Исходные кривые'!$B$18:$L$18)),INDEX('Исходные кривые'!$B$18:$L$18,1,MATCH(D56,'Исходные кривые'!$B$17:$L$17,1))+(D56-INDEX('Исходные кривые'!$B$17:$L$17,1,MATCH(D56,'Исходные кривые'!$B$17:$L$17,1)))*(INDEX('Исходные кривые'!$B$18:$L$18,1,MATCH(D56,'Исходные кривые'!$B$17:$L$17,1)+1)-INDEX('Исходные кривые'!$B$18:$L$18,1,MATCH(D56,'Исходные кривые'!$B$17:$L$17,1)))/(INDEX('Исходные кривые'!$B$17:$L$17,1,MATCH(D56,'Исходные кривые'!$B$17:$L$17,1)+1)-INDEX('Исходные кривые'!$B$17:$L$17,1,MATCH(D56,'Исходные кривые'!$B$17:$L$17,1)))))</x:f>
        <x:v>5.4</x:v>
      </x:c>
      <x:c r="J56" s="74" t="n">
        <x:f>IF(D56&lt;=MIN('Исходные кривые'!$B$17:$L$17),INDEX('Исходные кривые'!$B$19:$L$19,1,1),IF(D56&gt;=MAX('Исходные кривые'!$B$17:$L$17),INDEX('Исходные кривые'!$B$19:$L$19,1,COLUMNS('Исходные кривые'!$B$19:$L$19)),INDEX('Исходные кривые'!$B$19:$L$19,1,MATCH(D56,'Исходные кривые'!$B$17:$L$17,1))+(D56-INDEX('Исходные кривые'!$B$17:$L$17,1,MATCH(D56,'Исходные кривые'!$B$17:$L$17,1)))*(INDEX('Исходные кривые'!$B$19:$L$19,1,MATCH(D56,'Исходные кривые'!$B$17:$L$17,1)+1)-INDEX('Исходные кривые'!$B$19:$L$19,1,MATCH(D56,'Исходные кривые'!$B$17:$L$17,1)))/(INDEX('Исходные кривые'!$B$17:$L$17,1,MATCH(D56,'Исходные кривые'!$B$17:$L$17,1)+1)-INDEX('Исходные кривые'!$B$17:$L$17,1,MATCH(D56,'Исходные кривые'!$B$17:$L$17,1)))))</x:f>
        <x:v>-1.9</x:v>
      </x:c>
    </x:row>
    <x:row r="57">
      <x:c r="A57" s="50" t="str">
        <x:v>Новый набор — изображение 1</x:v>
      </x:c>
      <x:c r="B57" s="51" t="n">
        <x:v>49340</x:v>
      </x:c>
      <x:c r="C57" s="73" t="n">
        <x:f>B57-'Настройки'!$B$4</x:f>
        <x:v>3137</x:v>
      </x:c>
      <x:c r="D57" s="74" t="n">
        <x:f>C57/'Настройки'!$B$5</x:f>
        <x:v>8.594520547945205</x:v>
      </x:c>
      <x:c r="E57" s="74" t="n">
        <x:f>IF(D57&lt;=MIN('Исходные кривые'!$B$4:$L$4),INDEX('Исходные кривые'!$B$5:$L$5,1,1),IF(D57&gt;=MAX('Исходные кривые'!$B$4:$L$4),INDEX('Исходные кривые'!$B$5:$L$5,1,COLUMNS('Исходные кривые'!$B$5:$L$5)),INDEX('Исходные кривые'!$B$5:$L$5,1,MATCH(D57,'Исходные кривые'!$B$4:$L$4,1))+(D57-INDEX('Исходные кривые'!$B$4:$L$4,1,MATCH(D57,'Исходные кривые'!$B$4:$L$4,1)))*(INDEX('Исходные кривые'!$B$5:$L$5,1,MATCH(D57,'Исходные кривые'!$B$4:$L$4,1)+1)-INDEX('Исходные кривые'!$B$5:$L$5,1,MATCH(D57,'Исходные кривые'!$B$4:$L$4,1)))/(INDEX('Исходные кривые'!$B$4:$L$4,1,MATCH(D57,'Исходные кривые'!$B$4:$L$4,1)+1)-INDEX('Исходные кривые'!$B$4:$L$4,1,MATCH(D57,'Исходные кривые'!$B$4:$L$4,1)))))</x:f>
        <x:v>16.192602739726027</x:v>
      </x:c>
      <x:c r="F57" s="74" t="n">
        <x:f>IF(D57&lt;=MIN('Исходные кривые'!$B$8:$N$8),INDEX('Исходные кривые'!$B$9:$N$9,1,1),IF(D57&gt;=MAX('Исходные кривые'!$B$8:$N$8),INDEX('Исходные кривые'!$B$9:$N$9,1,COLUMNS('Исходные кривые'!$B$9:$N$9)),INDEX('Исходные кривые'!$B$9:$N$9,1,MATCH(D57,'Исходные кривые'!$B$8:$N$8,1))+(D57-INDEX('Исходные кривые'!$B$8:$N$8,1,MATCH(D57,'Исходные кривые'!$B$8:$N$8,1)))*(INDEX('Исходные кривые'!$B$9:$N$9,1,MATCH(D57,'Исходные кривые'!$B$8:$N$8,1)+1)-INDEX('Исходные кривые'!$B$9:$N$9,1,MATCH(D57,'Исходные кривые'!$B$8:$N$8,1)))/(INDEX('Исходные кривые'!$B$8:$N$8,1,MATCH(D57,'Исходные кривые'!$B$8:$N$8,1)+1)-INDEX('Исходные кривые'!$B$8:$N$8,1,MATCH(D57,'Исходные кривые'!$B$8:$N$8,1)))))</x:f>
        <x:v>18.192602739726027</x:v>
      </x:c>
      <x:c r="G57" s="74" t="n">
        <x:f>IF(D57&lt;=MIN('Исходные кривые'!$B$12:$K$12),INDEX('Исходные кривые'!$B$13:$K$13,1,1),IF(D57&gt;=MAX('Исходные кривые'!$B$12:$K$12),INDEX('Исходные кривые'!$B$13:$K$13,1,COLUMNS('Исходные кривые'!$B$13:$K$13)),INDEX('Исходные кривые'!$B$13:$K$13,1,MATCH(D57,'Исходные кривые'!$B$12:$K$12,1))+(D57-INDEX('Исходные кривые'!$B$12:$K$12,1,MATCH(D57,'Исходные кривые'!$B$12:$K$12,1)))*(INDEX('Исходные кривые'!$B$13:$K$13,1,MATCH(D57,'Исходные кривые'!$B$12:$K$12,1)+1)-INDEX('Исходные кривые'!$B$13:$K$13,1,MATCH(D57,'Исходные кривые'!$B$12:$K$12,1)))/(INDEX('Исходные кривые'!$B$12:$K$12,1,MATCH(D57,'Исходные кривые'!$B$12:$K$12,1)+1)-INDEX('Исходные кривые'!$B$12:$K$12,1,MATCH(D57,'Исходные кривые'!$B$12:$K$12,1)))))</x:f>
        <x:v>37.74794520547945</x:v>
      </x:c>
      <x:c r="H57" s="74" t="n">
        <x:f>IF(D57&lt;=MIN('Исходные кривые'!$B$12:$K$12),INDEX('Исходные кривые'!$B$14:$K$14,1,1),IF(D57&gt;=MAX('Исходные кривые'!$B$12:$K$12),INDEX('Исходные кривые'!$B$14:$K$14,1,COLUMNS('Исходные кривые'!$B$14:$K$14)),INDEX('Исходные кривые'!$B$14:$K$14,1,MATCH(D57,'Исходные кривые'!$B$12:$K$12,1))+(D57-INDEX('Исходные кривые'!$B$12:$K$12,1,MATCH(D57,'Исходные кривые'!$B$12:$K$12,1)))*(INDEX('Исходные кривые'!$B$14:$K$14,1,MATCH(D57,'Исходные кривые'!$B$12:$K$12,1)+1)-INDEX('Исходные кривые'!$B$14:$K$14,1,MATCH(D57,'Исходные кривые'!$B$12:$K$12,1)))/(INDEX('Исходные кривые'!$B$12:$K$12,1,MATCH(D57,'Исходные кривые'!$B$12:$K$12,1)+1)-INDEX('Исходные кривые'!$B$12:$K$12,1,MATCH(D57,'Исходные кривые'!$B$12:$K$12,1)))))</x:f>
        <x:v>-24.936986301369863</x:v>
      </x:c>
      <x:c r="I57" s="74" t="n">
        <x:f>IF(D57&lt;=MIN('Исходные кривые'!$B$17:$L$17),INDEX('Исходные кривые'!$B$18:$L$18,1,1),IF(D57&gt;=MAX('Исходные кривые'!$B$17:$L$17),INDEX('Исходные кривые'!$B$18:$L$18,1,COLUMNS('Исходные кривые'!$B$18:$L$18)),INDEX('Исходные кривые'!$B$18:$L$18,1,MATCH(D57,'Исходные кривые'!$B$17:$L$17,1))+(D57-INDEX('Исходные кривые'!$B$17:$L$17,1,MATCH(D57,'Исходные кривые'!$B$17:$L$17,1)))*(INDEX('Исходные кривые'!$B$18:$L$18,1,MATCH(D57,'Исходные кривые'!$B$17:$L$17,1)+1)-INDEX('Исходные кривые'!$B$18:$L$18,1,MATCH(D57,'Исходные кривые'!$B$17:$L$17,1)))/(INDEX('Исходные кривые'!$B$17:$L$17,1,MATCH(D57,'Исходные кривые'!$B$17:$L$17,1)+1)-INDEX('Исходные кривые'!$B$17:$L$17,1,MATCH(D57,'Исходные кривые'!$B$17:$L$17,1)))))</x:f>
        <x:v>5.4</x:v>
      </x:c>
      <x:c r="J57" s="74" t="n">
        <x:f>IF(D57&lt;=MIN('Исходные кривые'!$B$17:$L$17),INDEX('Исходные кривые'!$B$19:$L$19,1,1),IF(D57&gt;=MAX('Исходные кривые'!$B$17:$L$17),INDEX('Исходные кривые'!$B$19:$L$19,1,COLUMNS('Исходные кривые'!$B$19:$L$19)),INDEX('Исходные кривые'!$B$19:$L$19,1,MATCH(D57,'Исходные кривые'!$B$17:$L$17,1))+(D57-INDEX('Исходные кривые'!$B$17:$L$17,1,MATCH(D57,'Исходные кривые'!$B$17:$L$17,1)))*(INDEX('Исходные кривые'!$B$19:$L$19,1,MATCH(D57,'Исходные кривые'!$B$17:$L$17,1)+1)-INDEX('Исходные кривые'!$B$19:$L$19,1,MATCH(D57,'Исходные кривые'!$B$17:$L$17,1)))/(INDEX('Исходные кривые'!$B$17:$L$17,1,MATCH(D57,'Исходные кривые'!$B$17:$L$17,1)+1)-INDEX('Исходные кривые'!$B$17:$L$17,1,MATCH(D57,'Исходные кривые'!$B$17:$L$17,1)))))</x:f>
        <x:v>-1.9</x:v>
      </x:c>
    </x:row>
    <x:row r="58">
      <x:c r="A58" s="50" t="str">
        <x:v>Новый набор — изображение 1</x:v>
      </x:c>
      <x:c r="B58" s="51" t="n">
        <x:v>49431</x:v>
      </x:c>
      <x:c r="C58" s="73" t="n">
        <x:f>B58-'Настройки'!$B$4</x:f>
        <x:v>3228</x:v>
      </x:c>
      <x:c r="D58" s="74" t="n">
        <x:f>C58/'Настройки'!$B$5</x:f>
        <x:v>8.843835616438357</x:v>
      </x:c>
      <x:c r="E58" s="74" t="n">
        <x:f>IF(D58&lt;=MIN('Исходные кривые'!$B$4:$L$4),INDEX('Исходные кривые'!$B$5:$L$5,1,1),IF(D58&gt;=MAX('Исходные кривые'!$B$4:$L$4),INDEX('Исходные кривые'!$B$5:$L$5,1,COLUMNS('Исходные кривые'!$B$5:$L$5)),INDEX('Исходные кривые'!$B$5:$L$5,1,MATCH(D58,'Исходные кривые'!$B$4:$L$4,1))+(D58-INDEX('Исходные кривые'!$B$4:$L$4,1,MATCH(D58,'Исходные кривые'!$B$4:$L$4,1)))*(INDEX('Исходные кривые'!$B$5:$L$5,1,MATCH(D58,'Исходные кривые'!$B$4:$L$4,1)+1)-INDEX('Исходные кривые'!$B$5:$L$5,1,MATCH(D58,'Исходные кривые'!$B$4:$L$4,1)))/(INDEX('Исходные кривые'!$B$4:$L$4,1,MATCH(D58,'Исходные кривые'!$B$4:$L$4,1)+1)-INDEX('Исходные кривые'!$B$4:$L$4,1,MATCH(D58,'Исходные кривые'!$B$4:$L$4,1)))))</x:f>
        <x:v>16.225844748858446</x:v>
      </x:c>
      <x:c r="F58" s="74" t="n">
        <x:f>IF(D58&lt;=MIN('Исходные кривые'!$B$8:$N$8),INDEX('Исходные кривые'!$B$9:$N$9,1,1),IF(D58&gt;=MAX('Исходные кривые'!$B$8:$N$8),INDEX('Исходные кривые'!$B$9:$N$9,1,COLUMNS('Исходные кривые'!$B$9:$N$9)),INDEX('Исходные кривые'!$B$9:$N$9,1,MATCH(D58,'Исходные кривые'!$B$8:$N$8,1))+(D58-INDEX('Исходные кривые'!$B$8:$N$8,1,MATCH(D58,'Исходные кривые'!$B$8:$N$8,1)))*(INDEX('Исходные кривые'!$B$9:$N$9,1,MATCH(D58,'Исходные кривые'!$B$8:$N$8,1)+1)-INDEX('Исходные кривые'!$B$9:$N$9,1,MATCH(D58,'Исходные кривые'!$B$8:$N$8,1)))/(INDEX('Исходные кривые'!$B$8:$N$8,1,MATCH(D58,'Исходные кривые'!$B$8:$N$8,1)+1)-INDEX('Исходные кривые'!$B$8:$N$8,1,MATCH(D58,'Исходные кривые'!$B$8:$N$8,1)))))</x:f>
        <x:v>18.225844748858446</x:v>
      </x:c>
      <x:c r="G58" s="74" t="n">
        <x:f>IF(D58&lt;=MIN('Исходные кривые'!$B$12:$K$12),INDEX('Исходные кривые'!$B$13:$K$13,1,1),IF(D58&gt;=MAX('Исходные кривые'!$B$12:$K$12),INDEX('Исходные кривые'!$B$13:$K$13,1,COLUMNS('Исходные кривые'!$B$13:$K$13)),INDEX('Исходные кривые'!$B$13:$K$13,1,MATCH(D58,'Исходные кривые'!$B$12:$K$12,1))+(D58-INDEX('Исходные кривые'!$B$12:$K$12,1,MATCH(D58,'Исходные кривые'!$B$12:$K$12,1)))*(INDEX('Исходные кривые'!$B$13:$K$13,1,MATCH(D58,'Исходные кривые'!$B$12:$K$12,1)+1)-INDEX('Исходные кривые'!$B$13:$K$13,1,MATCH(D58,'Исходные кривые'!$B$12:$K$12,1)))/(INDEX('Исходные кривые'!$B$12:$K$12,1,MATCH(D58,'Исходные кривые'!$B$12:$K$12,1)+1)-INDEX('Исходные кривые'!$B$12:$K$12,1,MATCH(D58,'Исходные кривые'!$B$12:$K$12,1)))))</x:f>
        <x:v>37.08310502283105</x:v>
      </x:c>
      <x:c r="H58" s="74" t="n">
        <x:f>IF(D58&lt;=MIN('Исходные кривые'!$B$12:$K$12),INDEX('Исходные кривые'!$B$14:$K$14,1,1),IF(D58&gt;=MAX('Исходные кривые'!$B$12:$K$12),INDEX('Исходные кривые'!$B$14:$K$14,1,COLUMNS('Исходные кривые'!$B$14:$K$14)),INDEX('Исходные кривые'!$B$14:$K$14,1,MATCH(D58,'Исходные кривые'!$B$12:$K$12,1))+(D58-INDEX('Исходные кривые'!$B$12:$K$12,1,MATCH(D58,'Исходные кривые'!$B$12:$K$12,1)))*(INDEX('Исходные кривые'!$B$14:$K$14,1,MATCH(D58,'Исходные кривые'!$B$12:$K$12,1)+1)-INDEX('Исходные кривые'!$B$14:$K$14,1,MATCH(D58,'Исходные кривые'!$B$12:$K$12,1)))/(INDEX('Исходные кривые'!$B$12:$K$12,1,MATCH(D58,'Исходные кривые'!$B$12:$K$12,1)+1)-INDEX('Исходные кривые'!$B$12:$K$12,1,MATCH(D58,'Исходные кривые'!$B$12:$K$12,1)))))</x:f>
        <x:v>-24.770776255707762</x:v>
      </x:c>
      <x:c r="I58" s="74" t="n">
        <x:f>IF(D58&lt;=MIN('Исходные кривые'!$B$17:$L$17),INDEX('Исходные кривые'!$B$18:$L$18,1,1),IF(D58&gt;=MAX('Исходные кривые'!$B$17:$L$17),INDEX('Исходные кривые'!$B$18:$L$18,1,COLUMNS('Исходные кривые'!$B$18:$L$18)),INDEX('Исходные кривые'!$B$18:$L$18,1,MATCH(D58,'Исходные кривые'!$B$17:$L$17,1))+(D58-INDEX('Исходные кривые'!$B$17:$L$17,1,MATCH(D58,'Исходные кривые'!$B$17:$L$17,1)))*(INDEX('Исходные кривые'!$B$18:$L$18,1,MATCH(D58,'Исходные кривые'!$B$17:$L$17,1)+1)-INDEX('Исходные кривые'!$B$18:$L$18,1,MATCH(D58,'Исходные кривые'!$B$17:$L$17,1)))/(INDEX('Исходные кривые'!$B$17:$L$17,1,MATCH(D58,'Исходные кривые'!$B$17:$L$17,1)+1)-INDEX('Исходные кривые'!$B$17:$L$17,1,MATCH(D58,'Исходные кривые'!$B$17:$L$17,1)))))</x:f>
        <x:v>5.4</x:v>
      </x:c>
      <x:c r="J58" s="74" t="n">
        <x:f>IF(D58&lt;=MIN('Исходные кривые'!$B$17:$L$17),INDEX('Исходные кривые'!$B$19:$L$19,1,1),IF(D58&gt;=MAX('Исходные кривые'!$B$17:$L$17),INDEX('Исходные кривые'!$B$19:$L$19,1,COLUMNS('Исходные кривые'!$B$19:$L$19)),INDEX('Исходные кривые'!$B$19:$L$19,1,MATCH(D58,'Исходные кривые'!$B$17:$L$17,1))+(D58-INDEX('Исходные кривые'!$B$17:$L$17,1,MATCH(D58,'Исходные кривые'!$B$17:$L$17,1)))*(INDEX('Исходные кривые'!$B$19:$L$19,1,MATCH(D58,'Исходные кривые'!$B$17:$L$17,1)+1)-INDEX('Исходные кривые'!$B$19:$L$19,1,MATCH(D58,'Исходные кривые'!$B$17:$L$17,1)))/(INDEX('Исходные кривые'!$B$17:$L$17,1,MATCH(D58,'Исходные кривые'!$B$17:$L$17,1)+1)-INDEX('Исходные кривые'!$B$17:$L$17,1,MATCH(D58,'Исходные кривые'!$B$17:$L$17,1)))))</x:f>
        <x:v>-1.9</x:v>
      </x:c>
    </x:row>
    <x:row r="59">
      <x:c r="A59" s="50" t="str">
        <x:v>Новый набор — изображение 1</x:v>
      </x:c>
      <x:c r="B59" s="51" t="n">
        <x:v>49521</x:v>
      </x:c>
      <x:c r="C59" s="73" t="n">
        <x:f>B59-'Настройки'!$B$4</x:f>
        <x:v>3318</x:v>
      </x:c>
      <x:c r="D59" s="74" t="n">
        <x:f>C59/'Настройки'!$B$5</x:f>
        <x:v>9.09041095890411</x:v>
      </x:c>
      <x:c r="E59" s="74" t="n">
        <x:f>IF(D59&lt;=MIN('Исходные кривые'!$B$4:$L$4),INDEX('Исходные кривые'!$B$5:$L$5,1,1),IF(D59&gt;=MAX('Исходные кривые'!$B$4:$L$4),INDEX('Исходные кривые'!$B$5:$L$5,1,COLUMNS('Исходные кривые'!$B$5:$L$5)),INDEX('Исходные кривые'!$B$5:$L$5,1,MATCH(D59,'Исходные кривые'!$B$4:$L$4,1))+(D59-INDEX('Исходные кривые'!$B$4:$L$4,1,MATCH(D59,'Исходные кривые'!$B$4:$L$4,1)))*(INDEX('Исходные кривые'!$B$5:$L$5,1,MATCH(D59,'Исходные кривые'!$B$4:$L$4,1)+1)-INDEX('Исходные кривые'!$B$5:$L$5,1,MATCH(D59,'Исходные кривые'!$B$4:$L$4,1)))/(INDEX('Исходные кривые'!$B$4:$L$4,1,MATCH(D59,'Исходные кривые'!$B$4:$L$4,1)+1)-INDEX('Исходные кривые'!$B$4:$L$4,1,MATCH(D59,'Исходные кривые'!$B$4:$L$4,1)))))</x:f>
        <x:v>16.258721461187214</x:v>
      </x:c>
      <x:c r="F59" s="74" t="n">
        <x:f>IF(D59&lt;=MIN('Исходные кривые'!$B$8:$N$8),INDEX('Исходные кривые'!$B$9:$N$9,1,1),IF(D59&gt;=MAX('Исходные кривые'!$B$8:$N$8),INDEX('Исходные кривые'!$B$9:$N$9,1,COLUMNS('Исходные кривые'!$B$9:$N$9)),INDEX('Исходные кривые'!$B$9:$N$9,1,MATCH(D59,'Исходные кривые'!$B$8:$N$8,1))+(D59-INDEX('Исходные кривые'!$B$8:$N$8,1,MATCH(D59,'Исходные кривые'!$B$8:$N$8,1)))*(INDEX('Исходные кривые'!$B$9:$N$9,1,MATCH(D59,'Исходные кривые'!$B$8:$N$8,1)+1)-INDEX('Исходные кривые'!$B$9:$N$9,1,MATCH(D59,'Исходные кривые'!$B$8:$N$8,1)))/(INDEX('Исходные кривые'!$B$8:$N$8,1,MATCH(D59,'Исходные кривые'!$B$8:$N$8,1)+1)-INDEX('Исходные кривые'!$B$8:$N$8,1,MATCH(D59,'Исходные кривые'!$B$8:$N$8,1)))))</x:f>
        <x:v>18.258721461187214</x:v>
      </x:c>
      <x:c r="G59" s="74" t="n">
        <x:f>IF(D59&lt;=MIN('Исходные кривые'!$B$12:$K$12),INDEX('Исходные кривые'!$B$13:$K$13,1,1),IF(D59&gt;=MAX('Исходные кривые'!$B$12:$K$12),INDEX('Исходные кривые'!$B$13:$K$13,1,COLUMNS('Исходные кривые'!$B$13:$K$13)),INDEX('Исходные кривые'!$B$13:$K$13,1,MATCH(D59,'Исходные кривые'!$B$12:$K$12,1))+(D59-INDEX('Исходные кривые'!$B$12:$K$12,1,MATCH(D59,'Исходные кривые'!$B$12:$K$12,1)))*(INDEX('Исходные кривые'!$B$13:$K$13,1,MATCH(D59,'Исходные кривые'!$B$12:$K$12,1)+1)-INDEX('Исходные кривые'!$B$13:$K$13,1,MATCH(D59,'Исходные кривые'!$B$12:$K$12,1)))/(INDEX('Исходные кривые'!$B$12:$K$12,1,MATCH(D59,'Исходные кривые'!$B$12:$K$12,1)+1)-INDEX('Исходные кривые'!$B$12:$K$12,1,MATCH(D59,'Исходные кривые'!$B$12:$K$12,1)))))</x:f>
        <x:v>36.425570776255704</x:v>
      </x:c>
      <x:c r="H59" s="74" t="n">
        <x:f>IF(D59&lt;=MIN('Исходные кривые'!$B$12:$K$12),INDEX('Исходные кривые'!$B$14:$K$14,1,1),IF(D59&gt;=MAX('Исходные кривые'!$B$12:$K$12),INDEX('Исходные кривые'!$B$14:$K$14,1,COLUMNS('Исходные кривые'!$B$14:$K$14)),INDEX('Исходные кривые'!$B$14:$K$14,1,MATCH(D59,'Исходные кривые'!$B$12:$K$12,1))+(D59-INDEX('Исходные кривые'!$B$12:$K$12,1,MATCH(D59,'Исходные кривые'!$B$12:$K$12,1)))*(INDEX('Исходные кривые'!$B$14:$K$14,1,MATCH(D59,'Исходные кривые'!$B$12:$K$12,1)+1)-INDEX('Исходные кривые'!$B$14:$K$14,1,MATCH(D59,'Исходные кривые'!$B$12:$K$12,1)))/(INDEX('Исходные кривые'!$B$12:$K$12,1,MATCH(D59,'Исходные кривые'!$B$12:$K$12,1)+1)-INDEX('Исходные кривые'!$B$12:$K$12,1,MATCH(D59,'Исходные кривые'!$B$12:$K$12,1)))))</x:f>
        <x:v>-24.606392694063928</x:v>
      </x:c>
      <x:c r="I59" s="74" t="n">
        <x:f>IF(D59&lt;=MIN('Исходные кривые'!$B$17:$L$17),INDEX('Исходные кривые'!$B$18:$L$18,1,1),IF(D59&gt;=MAX('Исходные кривые'!$B$17:$L$17),INDEX('Исходные кривые'!$B$18:$L$18,1,COLUMNS('Исходные кривые'!$B$18:$L$18)),INDEX('Исходные кривые'!$B$18:$L$18,1,MATCH(D59,'Исходные кривые'!$B$17:$L$17,1))+(D59-INDEX('Исходные кривые'!$B$17:$L$17,1,MATCH(D59,'Исходные кривые'!$B$17:$L$17,1)))*(INDEX('Исходные кривые'!$B$18:$L$18,1,MATCH(D59,'Исходные кривые'!$B$17:$L$17,1)+1)-INDEX('Исходные кривые'!$B$18:$L$18,1,MATCH(D59,'Исходные кривые'!$B$17:$L$17,1)))/(INDEX('Исходные кривые'!$B$17:$L$17,1,MATCH(D59,'Исходные кривые'!$B$17:$L$17,1)+1)-INDEX('Исходные кривые'!$B$17:$L$17,1,MATCH(D59,'Исходные кривые'!$B$17:$L$17,1)))))</x:f>
        <x:v>5.4</x:v>
      </x:c>
      <x:c r="J59" s="74" t="n">
        <x:f>IF(D59&lt;=MIN('Исходные кривые'!$B$17:$L$17),INDEX('Исходные кривые'!$B$19:$L$19,1,1),IF(D59&gt;=MAX('Исходные кривые'!$B$17:$L$17),INDEX('Исходные кривые'!$B$19:$L$19,1,COLUMNS('Исходные кривые'!$B$19:$L$19)),INDEX('Исходные кривые'!$B$19:$L$19,1,MATCH(D59,'Исходные кривые'!$B$17:$L$17,1))+(D59-INDEX('Исходные кривые'!$B$17:$L$17,1,MATCH(D59,'Исходные кривые'!$B$17:$L$17,1)))*(INDEX('Исходные кривые'!$B$19:$L$19,1,MATCH(D59,'Исходные кривые'!$B$17:$L$17,1)+1)-INDEX('Исходные кривые'!$B$19:$L$19,1,MATCH(D59,'Исходные кривые'!$B$17:$L$17,1)))/(INDEX('Исходные кривые'!$B$17:$L$17,1,MATCH(D59,'Исходные кривые'!$B$17:$L$17,1)+1)-INDEX('Исходные кривые'!$B$17:$L$17,1,MATCH(D59,'Исходные кривые'!$B$17:$L$17,1)))))</x:f>
        <x:v>-1.9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</x:cols>
  <x:sheetData>
    <x:row r="1" ht="28" customHeight="1">
      <x:c r="A1" s="3" t="str">
        <x:v>Контроль расчёта</x:v>
      </x:c>
      <x:c r="B1" s="3" t="str">
        <x:v>Контроль расчёта</x:v>
      </x:c>
      <x:c r="C1" s="3" t="str">
        <x:v>Контроль расчёта</x:v>
      </x:c>
      <x:c r="D1" s="3" t="str">
        <x:v>Контроль расчёта</x:v>
      </x:c>
      <x:c r="E1" s="3" t="str">
        <x:v>Контроль расчёта</x:v>
      </x:c>
      <x:c r="F1" s="3" t="str">
        <x:v>Контроль расчёта</x:v>
      </x:c>
      <x:c r="G1" s="3" t="str">
        <x:v>Контроль расчёта</x:v>
      </x:c>
    </x:row>
    <x:row r="3">
      <x:c r="A3" s="8" t="str">
        <x:v>Проверка</x:v>
      </x:c>
      <x:c r="B3" s="8" t="str">
        <x:v>Ячейка</x:v>
      </x:c>
      <x:c r="C3" s="8" t="str">
        <x:v>Расчёт</x:v>
      </x:c>
      <x:c r="D3" s="8" t="str">
        <x:v>Ожидается</x:v>
      </x:c>
      <x:c r="E3" s="8" t="str">
        <x:v>Разница</x:v>
      </x:c>
      <x:c r="F3" s="8" t="str">
        <x:v>Допуск</x:v>
      </x:c>
      <x:c r="G3" s="8" t="str">
        <x:v>Статус</x:v>
      </x:c>
    </x:row>
    <x:row r="4">
      <x:c r="A4" s="9" t="str">
        <x:v>КБД на 1 год</x:v>
      </x:c>
      <x:c r="B4" s="9" t="str">
        <x:v>Результаты!E5</x:v>
      </x:c>
      <x:c r="C4" s="31" t="n">
        <x:f>'Результаты'!E5</x:f>
        <x:v>13.41</x:v>
      </x:c>
      <x:c r="D4" s="29" t="n">
        <x:v>13.41</x:v>
      </x:c>
      <x:c r="E4" s="29" t="n">
        <x:f>C4-D4</x:f>
        <x:v>0</x:v>
      </x:c>
      <x:c r="F4" s="29" t="n">
        <x:v>0.0001</x:v>
      </x:c>
      <x:c r="G4" s="9" t="str">
        <x:f>IF(ABS(E4)&lt;=F4,"OK","ПРОВЕРИТЬ")</x:f>
        <x:v>OK</x:v>
      </x:c>
    </x:row>
    <x:row r="5">
      <x:c r="A5" s="9" t="str">
        <x:v>Сценарная кривая на 4 года</x:v>
      </x:c>
      <x:c r="B5" s="9" t="str">
        <x:v>Результаты!F8</x:v>
      </x:c>
      <x:c r="C5" s="31" t="n">
        <x:f>'Результаты'!F8</x:f>
        <x:v>16.946301369863015</x:v>
      </x:c>
      <x:c r="D5" s="29" t="n">
        <x:v>16.94630137</x:v>
      </x:c>
      <x:c r="E5" s="29" t="n">
        <x:f>C5-D5</x:f>
        <x:v>-1.3698553402718971e-10</x:v>
      </x:c>
      <x:c r="F5" s="29" t="n">
        <x:v>0.0001</x:v>
      </x:c>
      <x:c r="G5" s="9" t="str">
        <x:f>IF(ABS(E5)&lt;=F5,"OK","ПРОВЕРИТЬ")</x:f>
        <x:v>OK</x:v>
      </x:c>
    </x:row>
    <x:row r="6">
      <x:c r="A6" s="9" t="str">
        <x:v>ЦБ shock up на 4 года</x:v>
      </x:c>
      <x:c r="B6" s="9" t="str">
        <x:v>Результаты!G8</x:v>
      </x:c>
      <x:c r="C6" s="31" t="n">
        <x:f>'Результаты'!G8</x:f>
        <x:v>50.99178082191781</x:v>
      </x:c>
      <x:c r="D6" s="29" t="n">
        <x:v>50.99178082</x:v>
      </x:c>
      <x:c r="E6" s="29" t="n">
        <x:f>C6-D6</x:f>
        <x:v>1.9178045818080136e-9</x:v>
      </x:c>
      <x:c r="F6" s="29" t="n">
        <x:v>0.0001</x:v>
      </x:c>
      <x:c r="G6" s="9" t="str">
        <x:f>IF(ABS(E6)&lt;=F6,"OK","ПРОВЕРИТЬ")</x:f>
        <x:v>OK</x:v>
      </x:c>
    </x:row>
    <x:row r="7">
      <x:c r="A7" s="9" t="str">
        <x:v>ЦБ shock down на 4 года</x:v>
      </x:c>
      <x:c r="B7" s="9" t="str">
        <x:v>Результаты!H8</x:v>
      </x:c>
      <x:c r="C7" s="31" t="n">
        <x:f>'Результаты'!H8</x:f>
        <x:v>-27.4986301369863</x:v>
      </x:c>
      <x:c r="D7" s="29" t="n">
        <x:v>-27.49863014</x:v>
      </x:c>
      <x:c r="E7" s="29" t="n">
        <x:f>C7-D7</x:f>
        <x:v>3.0136995121665677e-9</x:v>
      </x:c>
      <x:c r="F7" s="29" t="n">
        <x:v>0.0001</x:v>
      </x:c>
      <x:c r="G7" s="9" t="str">
        <x:f>IF(ABS(E7)&lt;=F7,"OK","ПРОВЕРИТЬ")</x:f>
        <x:v>OK</x:v>
      </x:c>
    </x:row>
    <x:row r="8">
      <x:c r="A8" s="9" t="str">
        <x:v>RUB вверх на 1 год</x:v>
      </x:c>
      <x:c r="B8" s="9" t="str">
        <x:v>Результаты!I5</x:v>
      </x:c>
      <x:c r="C8" s="31" t="n">
        <x:f>'Результаты'!I5</x:f>
        <x:v>6</x:v>
      </x:c>
      <x:c r="D8" s="29" t="n">
        <x:v>6</x:v>
      </x:c>
      <x:c r="E8" s="29" t="n">
        <x:f>C8-D8</x:f>
        <x:v>0</x:v>
      </x:c>
      <x:c r="F8" s="29" t="n">
        <x:v>0.0001</x:v>
      </x:c>
      <x:c r="G8" s="9" t="str">
        <x:f>IF(ABS(E8)&lt;=F8,"OK","ПРОВЕРИТЬ")</x:f>
        <x:v>OK</x:v>
      </x:c>
    </x:row>
    <x:row r="9">
      <x:c r="A9" s="9" t="str">
        <x:v>RUB вниз на 1 год</x:v>
      </x:c>
      <x:c r="B9" s="9" t="str">
        <x:v>Результаты!J5</x:v>
      </x:c>
      <x:c r="C9" s="31" t="n">
        <x:f>'Результаты'!J5</x:f>
        <x:v>-5</x:v>
      </x:c>
      <x:c r="D9" s="29" t="n">
        <x:v>-5</x:v>
      </x:c>
      <x:c r="E9" s="29" t="n">
        <x:f>C9-D9</x:f>
        <x:v>0</x:v>
      </x:c>
      <x:c r="F9" s="29" t="n">
        <x:v>0.0001</x:v>
      </x:c>
      <x:c r="G9" s="9" t="str">
        <x:f>IF(ABS(E9)&lt;=F9,"OK","ПРОВЕРИТЬ")</x:f>
        <x:v>OK</x:v>
      </x:c>
    </x:row>
    <x:row r="11">
      <x:c r="A11" s="9" t="str">
        <x:v>Итоговый статус</x:v>
      </x:c>
      <x:c r="B11" s="9"/>
      <x:c r="C11" s="9"/>
      <x:c r="D11" s="9"/>
      <x:c r="E11" s="9"/>
      <x:c r="F11" s="9"/>
      <x:c r="G11" s="9" t="str">
        <x:f>IF(COUNTIF(G4:G9,"ПРОВЕРИТЬ")=0,"OK","ПРОВЕРИТЬ")</x:f>
        <x:v>OK</x:v>
      </x:c>
    </x:row>
    <x:row r="13">
      <x:c r="A13" s="78" t="str">
        <x:v>Проверка новых дат</x:v>
      </x:c>
      <x:c r="B13" s="78" t="str">
        <x:v>Ячейка</x:v>
      </x:c>
      <x:c r="C13" s="78" t="str">
        <x:v>Расчёт</x:v>
      </x:c>
      <x:c r="D13" s="78" t="str">
        <x:v>Ожидается</x:v>
      </x:c>
      <x:c r="E13" s="78" t="str">
        <x:v>Разница</x:v>
      </x:c>
      <x:c r="F13" s="78" t="str">
        <x:v>Допуск</x:v>
      </x:c>
      <x:c r="G13" s="78" t="str">
        <x:v>Статус</x:v>
      </x:c>
    </x:row>
    <x:row r="14">
      <x:c r="A14" s="9" t="str">
        <x:v>Дата первого нового ряда</x:v>
      </x:c>
      <x:c r="B14" s="9" t="str">
        <x:v>Результаты!B21</x:v>
      </x:c>
      <x:c r="C14" s="79" t="n">
        <x:f>'Результаты'!B21</x:f>
        <x:v>46692</x:v>
      </x:c>
      <x:c r="D14" s="79" t="n">
        <x:v>46692</x:v>
      </x:c>
      <x:c r="E14" s="9" t="n">
        <x:f>C14-D14</x:f>
        <x:v>0</x:v>
      </x:c>
      <x:c r="F14" s="9" t="n">
        <x:v>0</x:v>
      </x:c>
      <x:c r="G14" s="9" t="str">
        <x:f>IF(ABS(E14)&lt;=F14,"OK","ПРОВЕРИТЬ")</x:f>
        <x:v>OK</x:v>
      </x:c>
    </x:row>
    <x:row r="15">
      <x:c r="A15" s="9" t="str">
        <x:v>RUB вниз на последнюю дату</x:v>
      </x:c>
      <x:c r="B15" s="9" t="str">
        <x:v>Результаты!J59</x:v>
      </x:c>
      <x:c r="C15" s="29" t="n">
        <x:f>'Результаты'!J59</x:f>
        <x:v>-1.9</x:v>
      </x:c>
      <x:c r="D15" s="29" t="n">
        <x:v>-1.9</x:v>
      </x:c>
      <x:c r="E15" s="29" t="n">
        <x:f>C15-D15</x:f>
        <x:v>0</x:v>
      </x:c>
      <x:c r="F15" s="29" t="n">
        <x:v>0.0001</x:v>
      </x:c>
      <x:c r="G15" s="9" t="str">
        <x:f>IF(ABS(E15)&lt;=F15,"OK","ПРОВЕРИТЬ")</x:f>
        <x:v>OK</x:v>
      </x:c>
    </x:row>
    <x:row r="17">
      <x:c r="A17" s="178" t="str">
        <x:v>Проверка свопов</x:v>
      </x:c>
      <x:c r="B17" s="178" t="str">
        <x:v>Ячейка/диапазон</x:v>
      </x:c>
      <x:c r="C17" s="178" t="str">
        <x:v>Расчёт</x:v>
      </x:c>
      <x:c r="D17" s="178" t="str">
        <x:v>Ожидается</x:v>
      </x:c>
      <x:c r="E17" s="178" t="str">
        <x:v>Разница</x:v>
      </x:c>
      <x:c r="F17" s="178" t="str">
        <x:v>Допуск</x:v>
      </x:c>
      <x:c r="G17" s="178" t="str">
        <x:v>Статус</x:v>
      </x:c>
    </x:row>
    <x:row r="18">
      <x:c r="A18" s="9" t="str">
        <x:v>Количество платежей</x:v>
      </x:c>
      <x:c r="B18" s="9" t="str">
        <x:v>Свопы!E10:E89</x:v>
      </x:c>
      <x:c r="C18" s="9" t="n">
        <x:f>COUNTA('Свопы'!E10:E89)</x:f>
        <x:v>80</x:v>
      </x:c>
      <x:c r="D18" s="9" t="n">
        <x:v>80</x:v>
      </x:c>
      <x:c r="E18" s="9" t="n">
        <x:f>C18-D18</x:f>
        <x:v>0</x:v>
      </x:c>
      <x:c r="F18" s="9" t="n">
        <x:v>0</x:v>
      </x:c>
      <x:c r="G18" s="9" t="str">
        <x:f>IF(ABS(E18)&lt;=F18,"OK","ПРОВЕРИТЬ")</x:f>
        <x:v>OK</x:v>
      </x:c>
    </x:row>
    <x:row r="19">
      <x:c r="A19" s="9" t="str">
        <x:v>Первый платёж Свопа 1</x:v>
      </x:c>
      <x:c r="B19" s="9" t="str">
        <x:v>Свопы!E10</x:v>
      </x:c>
      <x:c r="C19" s="79" t="n">
        <x:f>'Свопы'!E10</x:f>
        <x:v>46661</x:v>
      </x:c>
      <x:c r="D19" s="79" t="n">
        <x:v>46661</x:v>
      </x:c>
      <x:c r="E19" s="9" t="n">
        <x:f>C19-D19</x:f>
        <x:v>0</x:v>
      </x:c>
      <x:c r="F19" s="9" t="n">
        <x:v>0</x:v>
      </x:c>
      <x:c r="G19" s="9" t="str">
        <x:f>IF(ABS(E19)&lt;=F19,"OK","ПРОВЕРИТЬ")</x:f>
        <x:v>OK</x:v>
      </x:c>
    </x:row>
    <x:row r="20">
      <x:c r="A20" s="9" t="str">
        <x:v>Погашение Свопа 4</x:v>
      </x:c>
      <x:c r="B20" s="9" t="str">
        <x:v>Свопы!E89</x:v>
      </x:c>
      <x:c r="C20" s="79" t="n">
        <x:f>'Свопы'!E89</x:f>
        <x:v>49491</x:v>
      </x:c>
      <x:c r="D20" s="79" t="n">
        <x:v>49491</x:v>
      </x:c>
      <x:c r="E20" s="9" t="n">
        <x:f>C20-D20</x:f>
        <x:v>0</x:v>
      </x:c>
      <x:c r="F20" s="9" t="n">
        <x:v>0</x:v>
      </x:c>
      <x:c r="G20" s="9" t="str">
        <x:f>IF(ABS(E20)&lt;=F20,"OK","ПРОВЕРИТЬ")</x:f>
        <x:v>OK</x:v>
      </x:c>
    </x:row>
  </x:sheetData>
  <x:mergeCells>
    <x:mergeCell ref="A1:G1"/>
    <x:mergeCell ref="A11:F11"/>
  </x:mergeCells>
  <x:conditionalFormatting sqref="G4:G11">
    <x:cfRule type="containsText" dxfId="0" priority="1" operator="containsText" text="OK"/>
    <x:cfRule type="containsText" dxfId="1" priority="2" operator="containsText" text="ПРОВЕРИТЬ"/>
  </x:conditionalFormatting>
  <x:conditionalFormatting sqref="G14:G15">
    <x:cfRule type="containsText" dxfId="2" priority="3" operator="containsText" text="OK"/>
    <x:cfRule type="containsText" dxfId="3" priority="4" operator="containsText" text="ПРОВЕРИТЬ"/>
  </x:conditionalFormatting>
  <x:conditionalFormatting sqref="G18:G20">
    <x:cfRule type="containsText" dxfId="4" priority="5" operator="containsText" text="OK"/>
    <x:cfRule type="containsText" dxfId="5" priority="6" operator="containsText" text="ПРОВЕРИТЬ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2" hidden="0" customWidth="1"/>
    <x:col min="5" max="5" width="15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28" customHeight="1">
      <x:c r="A1" s="81" t="str">
        <x:v>Интерполяция кривых для квартальных платежей по свопам</x:v>
      </x:c>
      <x:c r="B1" s="81" t="str">
        <x:v>Интерполяция кривых для квартальных платежей по свопам</x:v>
      </x:c>
      <x:c r="C1" s="81" t="str">
        <x:v>Интерполяция кривых для квартальных платежей по свопам</x:v>
      </x:c>
      <x:c r="D1" s="81" t="str">
        <x:v>Интерполяция кривых для квартальных платежей по свопам</x:v>
      </x:c>
      <x:c r="E1" s="81" t="str">
        <x:v>Интерполяция кривых для квартальных платежей по свопам</x:v>
      </x:c>
      <x:c r="F1" s="81" t="str">
        <x:v>Интерполяция кривых для квартальных платежей по свопам</x:v>
      </x:c>
      <x:c r="G1" s="81" t="str">
        <x:v>Интерполяция кривых для квартальных платежей по свопам</x:v>
      </x:c>
      <x:c r="H1" s="81" t="str">
        <x:v>Интерполяция кривых для квартальных платежей по свопам</x:v>
      </x:c>
      <x:c r="I1" s="81" t="str">
        <x:v>Интерполяция кривых для квартальных платежей по свопам</x:v>
      </x:c>
      <x:c r="J1" s="81" t="str">
        <x:v>Интерполяция кривых для квартальных платежей по свопам</x:v>
      </x:c>
      <x:c r="K1" s="81" t="str">
        <x:v>Интерполяция кривых для квартальных платежей по свопам</x:v>
      </x:c>
      <x:c r="L1" s="81" t="str">
        <x:v>Интерполяция кривых для квартальных платежей по свопам</x:v>
      </x:c>
      <x:c r="M1" s="81" t="str">
        <x:v>Интерполяция кривых для квартальных платежей по свопам</x:v>
      </x:c>
    </x:row>
    <x:row r="3">
      <x:c r="A3" s="83" t="str">
        <x:v>Параметр</x:v>
      </x:c>
      <x:c r="B3" s="83" t="str">
        <x:v>Значение</x:v>
      </x:c>
      <x:c r="C3"/>
      <x:c r="D3" s="83" t="str">
        <x:v>Своп</x:v>
      </x:c>
      <x:c r="E3" s="83" t="str">
        <x:v>Дата начала</x:v>
      </x:c>
      <x:c r="F3" s="83" t="str">
        <x:v>Дата погашения</x:v>
      </x:c>
    </x:row>
    <x:row r="4">
      <x:c r="A4" s="9" t="str">
        <x:v>Дата отчёта</x:v>
      </x:c>
      <x:c r="B4" s="87" t="n">
        <x:f>'Настройки'!$B$4</x:f>
        <x:v>46203</x:v>
      </x:c>
      <x:c r="C4"/>
      <x:c r="D4" s="9" t="str">
        <x:v>Своп 1</x:v>
      </x:c>
      <x:c r="E4" s="27" t="n">
        <x:v>46569</x:v>
      </x:c>
      <x:c r="F4" s="27" t="n">
        <x:v>48396</x:v>
      </x:c>
    </x:row>
    <x:row r="5">
      <x:c r="A5" s="9" t="str">
        <x:v>Частота платежей</x:v>
      </x:c>
      <x:c r="B5" s="86" t="str">
        <x:v>Квартальная</x:v>
      </x:c>
      <x:c r="C5"/>
      <x:c r="D5" s="9" t="str">
        <x:v>Своп 2</x:v>
      </x:c>
      <x:c r="E5" s="27" t="n">
        <x:v>46935</x:v>
      </x:c>
      <x:c r="F5" s="27" t="n">
        <x:v>48761</x:v>
      </x:c>
    </x:row>
    <x:row r="6">
      <x:c r="A6" s="9" t="str">
        <x:v>Количество платежей</x:v>
      </x:c>
      <x:c r="B6" s="86" t="n">
        <x:v>20</x:v>
      </x:c>
      <x:c r="C6"/>
      <x:c r="D6" s="9" t="str">
        <x:v>Своп 3</x:v>
      </x:c>
      <x:c r="E6" s="27" t="n">
        <x:v>47300</x:v>
      </x:c>
      <x:c r="F6" s="27" t="n">
        <x:v>49126</x:v>
      </x:c>
    </x:row>
    <x:row r="7">
      <x:c r="A7" s="9" t="str">
        <x:v>Корректировка дат</x:v>
      </x:c>
      <x:c r="B7" s="86" t="str">
        <x:v>Не применяется</x:v>
      </x:c>
      <x:c r="C7"/>
      <x:c r="D7" s="9" t="str">
        <x:v>Своп 4</x:v>
      </x:c>
      <x:c r="E7" s="27" t="n">
        <x:v>47665</x:v>
      </x:c>
      <x:c r="F7" s="27" t="n">
        <x:v>49491</x:v>
      </x:c>
    </x:row>
    <x:row r="9" ht="44" customHeight="1">
      <x:c r="A9" s="91" t="str">
        <x:v>Своп</x:v>
      </x:c>
      <x:c r="B9" s="91" t="str">
        <x:v>Дата начала</x:v>
      </x:c>
      <x:c r="C9" s="91" t="str">
        <x:v>Дата погашения</x:v>
      </x:c>
      <x:c r="D9" s="91" t="str">
        <x:v>№ платежа</x:v>
      </x:c>
      <x:c r="E9" s="91" t="str">
        <x:v>Дата платежа</x:v>
      </x:c>
      <x:c r="F9" s="91" t="str">
        <x:v>Дней от отчётной даты</x:v>
      </x:c>
      <x:c r="G9" s="91" t="str">
        <x:v>Срок ACT/365, лет</x:v>
      </x:c>
      <x:c r="H9" s="91" t="str">
        <x:v>КБД, %</x:v>
      </x:c>
      <x:c r="I9" s="91" t="str">
        <x:v>Сценарная кривая, %</x:v>
      </x:c>
      <x:c r="J9" s="91" t="str">
        <x:v>ЦБ_shock_up, б.п.</x:v>
      </x:c>
      <x:c r="K9" s="91" t="str">
        <x:v>ЦБ_shock_down, б.п.</x:v>
      </x:c>
      <x:c r="L9" s="91" t="str">
        <x:v>RUB вверх, п.п.</x:v>
      </x:c>
      <x:c r="M9" s="91" t="str">
        <x:v>RUB вниз, п.п.</x:v>
      </x:c>
    </x:row>
    <x:row r="10">
      <x:c r="A10" s="134" t="str">
        <x:v>Своп 1</x:v>
      </x:c>
      <x:c r="B10" s="135" t="n">
        <x:v>46569</x:v>
      </x:c>
      <x:c r="C10" s="135" t="n">
        <x:v>48396</x:v>
      </x:c>
      <x:c r="D10" s="134" t="n">
        <x:v>1</x:v>
      </x:c>
      <x:c r="E10" s="135" t="n">
        <x:v>46661</x:v>
      </x:c>
      <x:c r="F10" s="162" t="n">
        <x:f>E10-'Настройки'!$B$4</x:f>
        <x:v>458</x:v>
      </x:c>
      <x:c r="G10" s="163" t="n">
        <x:f>F10/'Настройки'!$B$5</x:f>
        <x:v>1.2547945205479452</x:v>
      </x:c>
      <x:c r="H10" s="163" t="n">
        <x:f>IF(G10&lt;=MIN('Исходные кривые'!$B$4:$L$4),INDEX('Исходные кривые'!$B$5:$L$5,1,1),IF(G10&gt;=MAX('Исходные кривые'!$B$4:$L$4),INDEX('Исходные кривые'!$B$5:$L$5,1,COLUMNS('Исходные кривые'!$B$5:$L$5)),INDEX('Исходные кривые'!$B$5:$L$5,1,MATCH(G10,'Исходные кривые'!$B$4:$L$4,1))+(G10-INDEX('Исходные кривые'!$B$4:$L$4,1,MATCH(G10,'Исходные кривые'!$B$4:$L$4,1)))*(INDEX('Исходные кривые'!$B$5:$L$5,1,MATCH(G10,'Исходные кривые'!$B$4:$L$4,1)+1)-INDEX('Исходные кривые'!$B$5:$L$5,1,MATCH(G10,'Исходные кривые'!$B$4:$L$4,1)))/(INDEX('Исходные кривые'!$B$4:$L$4,1,MATCH(G10,'Исходные кривые'!$B$4:$L$4,1)+1)-INDEX('Исходные кривые'!$B$4:$L$4,1,MATCH(G10,'Исходные кривые'!$B$4:$L$4,1)))))</x:f>
        <x:v>13.527205479452055</x:v>
      </x:c>
      <x:c r="I10" s="163" t="n">
        <x:f>IF(G10&lt;=MIN('Исходные кривые'!$B$8:$N$8),INDEX('Исходные кривые'!$B$9:$N$9,1,1),IF(G10&gt;=MAX('Исходные кривые'!$B$8:$N$8),INDEX('Исходные кривые'!$B$9:$N$9,1,COLUMNS('Исходные кривые'!$B$9:$N$9)),INDEX('Исходные кривые'!$B$9:$N$9,1,MATCH(G10,'Исходные кривые'!$B$8:$N$8,1))+(G10-INDEX('Исходные кривые'!$B$8:$N$8,1,MATCH(G10,'Исходные кривые'!$B$8:$N$8,1)))*(INDEX('Исходные кривые'!$B$9:$N$9,1,MATCH(G10,'Исходные кривые'!$B$8:$N$8,1)+1)-INDEX('Исходные кривые'!$B$9:$N$9,1,MATCH(G10,'Исходные кривые'!$B$8:$N$8,1)))/(INDEX('Исходные кривые'!$B$8:$N$8,1,MATCH(G10,'Исходные кривые'!$B$8:$N$8,1)+1)-INDEX('Исходные кривые'!$B$8:$N$8,1,MATCH(G10,'Исходные кривые'!$B$8:$N$8,1)))))</x:f>
        <x:v>15.527205479452055</x:v>
      </x:c>
      <x:c r="J10" s="163" t="n">
        <x:f>IF(G10&lt;=MIN('Исходные кривые'!$B$12:$K$12),INDEX('Исходные кривые'!$B$13:$K$13,1,1),IF(G10&gt;=MAX('Исходные кривые'!$B$12:$K$12),INDEX('Исходные кривые'!$B$13:$K$13,1,COLUMNS('Исходные кривые'!$B$13:$K$13)),INDEX('Исходные кривые'!$B$13:$K$13,1,MATCH(G10,'Исходные кривые'!$B$12:$K$12,1))+(G10-INDEX('Исходные кривые'!$B$12:$K$12,1,MATCH(G10,'Исходные кривые'!$B$12:$K$12,1)))*(INDEX('Исходные кривые'!$B$13:$K$13,1,MATCH(G10,'Исходные кривые'!$B$12:$K$12,1)+1)-INDEX('Исходные кривые'!$B$13:$K$13,1,MATCH(G10,'Исходные кривые'!$B$12:$K$12,1)))/(INDEX('Исходные кривые'!$B$12:$K$12,1,MATCH(G10,'Исходные кривые'!$B$12:$K$12,1)+1)-INDEX('Исходные кривые'!$B$12:$K$12,1,MATCH(G10,'Исходные кривые'!$B$12:$K$12,1)))))</x:f>
        <x:v>57.23561643835617</x:v>
      </x:c>
      <x:c r="K10" s="163" t="n">
        <x:f>IF(G10&lt;=MIN('Исходные кривые'!$B$12:$K$12),INDEX('Исходные кривые'!$B$14:$K$14,1,1),IF(G10&gt;=MAX('Исходные кривые'!$B$12:$K$12),INDEX('Исходные кривые'!$B$14:$K$14,1,COLUMNS('Исходные кривые'!$B$14:$K$14)),INDEX('Исходные кривые'!$B$14:$K$14,1,MATCH(G10,'Исходные кривые'!$B$12:$K$12,1))+(G10-INDEX('Исходные кривые'!$B$12:$K$12,1,MATCH(G10,'Исходные кривые'!$B$12:$K$12,1)))*(INDEX('Исходные кривые'!$B$14:$K$14,1,MATCH(G10,'Исходные кривые'!$B$12:$K$12,1)+1)-INDEX('Исходные кривые'!$B$14:$K$14,1,MATCH(G10,'Исходные кривые'!$B$12:$K$12,1)))/(INDEX('Исходные кривые'!$B$12:$K$12,1,MATCH(G10,'Исходные кривые'!$B$12:$K$12,1)+1)-INDEX('Исходные кривые'!$B$12:$K$12,1,MATCH(G10,'Исходные кривые'!$B$12:$K$12,1)))))</x:f>
        <x:v>-30.49041095890411</x:v>
      </x:c>
      <x:c r="L10" s="163" t="n">
        <x:f>IF(G10&lt;=MIN('Исходные кривые'!$B$17:$L$17),INDEX('Исходные кривые'!$B$18:$L$18,1,1),IF(G10&gt;=MAX('Исходные кривые'!$B$17:$L$17),INDEX('Исходные кривые'!$B$18:$L$18,1,COLUMNS('Исходные кривые'!$B$18:$L$18)),INDEX('Исходные кривые'!$B$18:$L$18,1,MATCH(G10,'Исходные кривые'!$B$17:$L$17,1))+(G10-INDEX('Исходные кривые'!$B$17:$L$17,1,MATCH(G10,'Исходные кривые'!$B$17:$L$17,1)))*(INDEX('Исходные кривые'!$B$18:$L$18,1,MATCH(G10,'Исходные кривые'!$B$17:$L$17,1)+1)-INDEX('Исходные кривые'!$B$18:$L$18,1,MATCH(G10,'Исходные кривые'!$B$17:$L$17,1)))/(INDEX('Исходные кривые'!$B$17:$L$17,1,MATCH(G10,'Исходные кривые'!$B$17:$L$17,1)+1)-INDEX('Исходные кривые'!$B$17:$L$17,1,MATCH(G10,'Исходные кривые'!$B$17:$L$17,1)))))</x:f>
        <x:v>6.318493150684931</x:v>
      </x:c>
      <x:c r="M10" s="163" t="n">
        <x:f>IF(G10&lt;=MIN('Исходные кривые'!$B$17:$L$17),INDEX('Исходные кривые'!$B$19:$L$19,1,1),IF(G10&gt;=MAX('Исходные кривые'!$B$17:$L$17),INDEX('Исходные кривые'!$B$19:$L$19,1,COLUMNS('Исходные кривые'!$B$19:$L$19)),INDEX('Исходные кривые'!$B$19:$L$19,1,MATCH(G10,'Исходные кривые'!$B$17:$L$17,1))+(G10-INDEX('Исходные кривые'!$B$17:$L$17,1,MATCH(G10,'Исходные кривые'!$B$17:$L$17,1)))*(INDEX('Исходные кривые'!$B$19:$L$19,1,MATCH(G10,'Исходные кривые'!$B$17:$L$17,1)+1)-INDEX('Исходные кривые'!$B$19:$L$19,1,MATCH(G10,'Исходные кривые'!$B$17:$L$17,1)))/(INDEX('Исходные кривые'!$B$17:$L$17,1,MATCH(G10,'Исходные кривые'!$B$17:$L$17,1)+1)-INDEX('Исходные кривые'!$B$17:$L$17,1,MATCH(G10,'Исходные кривые'!$B$17:$L$17,1)))))</x:f>
        <x:v>-4.923561643835616</x:v>
      </x:c>
    </x:row>
    <x:row r="11">
      <x:c r="A11" s="124" t="str">
        <x:v>Своп 1</x:v>
      </x:c>
      <x:c r="B11" s="125" t="n">
        <x:v>46569</x:v>
      </x:c>
      <x:c r="C11" s="125" t="n">
        <x:v>48396</x:v>
      </x:c>
      <x:c r="D11" s="124" t="n">
        <x:v>2</x:v>
      </x:c>
      <x:c r="E11" s="125" t="n">
        <x:v>46753</x:v>
      </x:c>
      <x:c r="F11" s="164" t="n">
        <x:f>E11-'Настройки'!$B$4</x:f>
        <x:v>550</x:v>
      </x:c>
      <x:c r="G11" s="165" t="n">
        <x:f>F11/'Настройки'!$B$5</x:f>
        <x:v>1.5068493150684932</x:v>
      </x:c>
      <x:c r="H11" s="165" t="n">
        <x:f>IF(G11&lt;=MIN('Исходные кривые'!$B$4:$L$4),INDEX('Исходные кривые'!$B$5:$L$5,1,1),IF(G11&gt;=MAX('Исходные кривые'!$B$4:$L$4),INDEX('Исходные кривые'!$B$5:$L$5,1,COLUMNS('Исходные кривые'!$B$5:$L$5)),INDEX('Исходные кривые'!$B$5:$L$5,1,MATCH(G11,'Исходные кривые'!$B$4:$L$4,1))+(G11-INDEX('Исходные кривые'!$B$4:$L$4,1,MATCH(G11,'Исходные кривые'!$B$4:$L$4,1)))*(INDEX('Исходные кривые'!$B$5:$L$5,1,MATCH(G11,'Исходные кривые'!$B$4:$L$4,1)+1)-INDEX('Исходные кривые'!$B$5:$L$5,1,MATCH(G11,'Исходные кривые'!$B$4:$L$4,1)))/(INDEX('Исходные кривые'!$B$4:$L$4,1,MATCH(G11,'Исходные кривые'!$B$4:$L$4,1)+1)-INDEX('Исходные кривые'!$B$4:$L$4,1,MATCH(G11,'Исходные кривые'!$B$4:$L$4,1)))))</x:f>
        <x:v>13.643150684931507</x:v>
      </x:c>
      <x:c r="I11" s="165" t="n">
        <x:f>IF(G11&lt;=MIN('Исходные кривые'!$B$8:$N$8),INDEX('Исходные кривые'!$B$9:$N$9,1,1),IF(G11&gt;=MAX('Исходные кривые'!$B$8:$N$8),INDEX('Исходные кривые'!$B$9:$N$9,1,COLUMNS('Исходные кривые'!$B$9:$N$9)),INDEX('Исходные кривые'!$B$9:$N$9,1,MATCH(G11,'Исходные кривые'!$B$8:$N$8,1))+(G11-INDEX('Исходные кривые'!$B$8:$N$8,1,MATCH(G11,'Исходные кривые'!$B$8:$N$8,1)))*(INDEX('Исходные кривые'!$B$9:$N$9,1,MATCH(G11,'Исходные кривые'!$B$8:$N$8,1)+1)-INDEX('Исходные кривые'!$B$9:$N$9,1,MATCH(G11,'Исходные кривые'!$B$8:$N$8,1)))/(INDEX('Исходные кривые'!$B$8:$N$8,1,MATCH(G11,'Исходные кривые'!$B$8:$N$8,1)+1)-INDEX('Исходные кривые'!$B$8:$N$8,1,MATCH(G11,'Исходные кривые'!$B$8:$N$8,1)))))</x:f>
        <x:v>15.643150684931507</x:v>
      </x:c>
      <x:c r="J11" s="165" t="n">
        <x:f>IF(G11&lt;=MIN('Исходные кривые'!$B$12:$K$12),INDEX('Исходные кривые'!$B$13:$K$13,1,1),IF(G11&gt;=MAX('Исходные кривые'!$B$12:$K$12),INDEX('Исходные кривые'!$B$13:$K$13,1,COLUMNS('Исходные кривые'!$B$13:$K$13)),INDEX('Исходные кривые'!$B$13:$K$13,1,MATCH(G11,'Исходные кривые'!$B$12:$K$12,1))+(G11-INDEX('Исходные кривые'!$B$12:$K$12,1,MATCH(G11,'Исходные кривые'!$B$12:$K$12,1)))*(INDEX('Исходные кривые'!$B$13:$K$13,1,MATCH(G11,'Исходные кривые'!$B$12:$K$12,1)+1)-INDEX('Исходные кривые'!$B$13:$K$13,1,MATCH(G11,'Исходные кривые'!$B$12:$K$12,1)))/(INDEX('Исходные кривые'!$B$12:$K$12,1,MATCH(G11,'Исходные кривые'!$B$12:$K$12,1)+1)-INDEX('Исходные кривые'!$B$12:$K$12,1,MATCH(G11,'Исходные кривые'!$B$12:$K$12,1)))))</x:f>
        <x:v>56.47945205479452</x:v>
      </x:c>
      <x:c r="K11" s="165" t="n">
        <x:f>IF(G11&lt;=MIN('Исходные кривые'!$B$12:$K$12),INDEX('Исходные кривые'!$B$14:$K$14,1,1),IF(G11&gt;=MAX('Исходные кривые'!$B$12:$K$12),INDEX('Исходные кривые'!$B$14:$K$14,1,COLUMNS('Исходные кривые'!$B$14:$K$14)),INDEX('Исходные кривые'!$B$14:$K$14,1,MATCH(G11,'Исходные кривые'!$B$12:$K$12,1))+(G11-INDEX('Исходные кривые'!$B$12:$K$12,1,MATCH(G11,'Исходные кривые'!$B$12:$K$12,1)))*(INDEX('Исходные кривые'!$B$14:$K$14,1,MATCH(G11,'Исходные кривые'!$B$12:$K$12,1)+1)-INDEX('Исходные кривые'!$B$14:$K$14,1,MATCH(G11,'Исходные кривые'!$B$12:$K$12,1)))/(INDEX('Исходные кривые'!$B$12:$K$12,1,MATCH(G11,'Исходные кривые'!$B$12:$K$12,1)+1)-INDEX('Исходные кривые'!$B$12:$K$12,1,MATCH(G11,'Исходные кривые'!$B$12:$K$12,1)))))</x:f>
        <x:v>-29.986301369863014</x:v>
      </x:c>
      <x:c r="L11" s="165" t="n">
        <x:f>IF(G11&lt;=MIN('Исходные кривые'!$B$17:$L$17),INDEX('Исходные кривые'!$B$18:$L$18,1,1),IF(G11&gt;=MAX('Исходные кривые'!$B$17:$L$17),INDEX('Исходные кривые'!$B$18:$L$18,1,COLUMNS('Исходные кривые'!$B$18:$L$18)),INDEX('Исходные кривые'!$B$18:$L$18,1,MATCH(G11,'Исходные кривые'!$B$17:$L$17,1))+(G11-INDEX('Исходные кривые'!$B$17:$L$17,1,MATCH(G11,'Исходные кривые'!$B$17:$L$17,1)))*(INDEX('Исходные кривые'!$B$18:$L$18,1,MATCH(G11,'Исходные кривые'!$B$17:$L$17,1)+1)-INDEX('Исходные кривые'!$B$18:$L$18,1,MATCH(G11,'Исходные кривые'!$B$17:$L$17,1)))/(INDEX('Исходные кривые'!$B$17:$L$17,1,MATCH(G11,'Исходные кривые'!$B$17:$L$17,1)+1)-INDEX('Исходные кривые'!$B$17:$L$17,1,MATCH(G11,'Исходные кривые'!$B$17:$L$17,1)))))</x:f>
        <x:v>6.633561643835616</x:v>
      </x:c>
      <x:c r="M11" s="165" t="n">
        <x:f>IF(G11&lt;=MIN('Исходные кривые'!$B$17:$L$17),INDEX('Исходные кривые'!$B$19:$L$19,1,1),IF(G11&gt;=MAX('Исходные кривые'!$B$17:$L$17),INDEX('Исходные кривые'!$B$19:$L$19,1,COLUMNS('Исходные кривые'!$B$19:$L$19)),INDEX('Исходные кривые'!$B$19:$L$19,1,MATCH(G11,'Исходные кривые'!$B$17:$L$17,1))+(G11-INDEX('Исходные кривые'!$B$17:$L$17,1,MATCH(G11,'Исходные кривые'!$B$17:$L$17,1)))*(INDEX('Исходные кривые'!$B$19:$L$19,1,MATCH(G11,'Исходные кривые'!$B$17:$L$17,1)+1)-INDEX('Исходные кривые'!$B$19:$L$19,1,MATCH(G11,'Исходные кривые'!$B$17:$L$17,1)))/(INDEX('Исходные кривые'!$B$17:$L$17,1,MATCH(G11,'Исходные кривые'!$B$17:$L$17,1)+1)-INDEX('Исходные кривые'!$B$17:$L$17,1,MATCH(G11,'Исходные кривые'!$B$17:$L$17,1)))))</x:f>
        <x:v>-4.847945205479452</x:v>
      </x:c>
    </x:row>
    <x:row r="12">
      <x:c r="A12" s="124" t="str">
        <x:v>Своп 1</x:v>
      </x:c>
      <x:c r="B12" s="125" t="n">
        <x:v>46569</x:v>
      </x:c>
      <x:c r="C12" s="125" t="n">
        <x:v>48396</x:v>
      </x:c>
      <x:c r="D12" s="124" t="n">
        <x:v>3</x:v>
      </x:c>
      <x:c r="E12" s="125" t="n">
        <x:v>46844</x:v>
      </x:c>
      <x:c r="F12" s="164" t="n">
        <x:f>E12-'Настройки'!$B$4</x:f>
        <x:v>641</x:v>
      </x:c>
      <x:c r="G12" s="165" t="n">
        <x:f>F12/'Настройки'!$B$5</x:f>
        <x:v>1.7561643835616438</x:v>
      </x:c>
      <x:c r="H12" s="165" t="n">
        <x:f>IF(G12&lt;=MIN('Исходные кривые'!$B$4:$L$4),INDEX('Исходные кривые'!$B$5:$L$5,1,1),IF(G12&gt;=MAX('Исходные кривые'!$B$4:$L$4),INDEX('Исходные кривые'!$B$5:$L$5,1,COLUMNS('Исходные кривые'!$B$5:$L$5)),INDEX('Исходные кривые'!$B$5:$L$5,1,MATCH(G12,'Исходные кривые'!$B$4:$L$4,1))+(G12-INDEX('Исходные кривые'!$B$4:$L$4,1,MATCH(G12,'Исходные кривые'!$B$4:$L$4,1)))*(INDEX('Исходные кривые'!$B$5:$L$5,1,MATCH(G12,'Исходные кривые'!$B$4:$L$4,1)+1)-INDEX('Исходные кривые'!$B$5:$L$5,1,MATCH(G12,'Исходные кривые'!$B$4:$L$4,1)))/(INDEX('Исходные кривые'!$B$4:$L$4,1,MATCH(G12,'Исходные кривые'!$B$4:$L$4,1)+1)-INDEX('Исходные кривые'!$B$4:$L$4,1,MATCH(G12,'Исходные кривые'!$B$4:$L$4,1)))))</x:f>
        <x:v>13.757835616438356</x:v>
      </x:c>
      <x:c r="I12" s="165" t="n">
        <x:f>IF(G12&lt;=MIN('Исходные кривые'!$B$8:$N$8),INDEX('Исходные кривые'!$B$9:$N$9,1,1),IF(G12&gt;=MAX('Исходные кривые'!$B$8:$N$8),INDEX('Исходные кривые'!$B$9:$N$9,1,COLUMNS('Исходные кривые'!$B$9:$N$9)),INDEX('Исходные кривые'!$B$9:$N$9,1,MATCH(G12,'Исходные кривые'!$B$8:$N$8,1))+(G12-INDEX('Исходные кривые'!$B$8:$N$8,1,MATCH(G12,'Исходные кривые'!$B$8:$N$8,1)))*(INDEX('Исходные кривые'!$B$9:$N$9,1,MATCH(G12,'Исходные кривые'!$B$8:$N$8,1)+1)-INDEX('Исходные кривые'!$B$9:$N$9,1,MATCH(G12,'Исходные кривые'!$B$8:$N$8,1)))/(INDEX('Исходные кривые'!$B$8:$N$8,1,MATCH(G12,'Исходные кривые'!$B$8:$N$8,1)+1)-INDEX('Исходные кривые'!$B$8:$N$8,1,MATCH(G12,'Исходные кривые'!$B$8:$N$8,1)))))</x:f>
        <x:v>15.757835616438356</x:v>
      </x:c>
      <x:c r="J12" s="165" t="n">
        <x:f>IF(G12&lt;=MIN('Исходные кривые'!$B$12:$K$12),INDEX('Исходные кривые'!$B$13:$K$13,1,1),IF(G12&gt;=MAX('Исходные кривые'!$B$12:$K$12),INDEX('Исходные кривые'!$B$13:$K$13,1,COLUMNS('Исходные кривые'!$B$13:$K$13)),INDEX('Исходные кривые'!$B$13:$K$13,1,MATCH(G12,'Исходные кривые'!$B$12:$K$12,1))+(G12-INDEX('Исходные кривые'!$B$12:$K$12,1,MATCH(G12,'Исходные кривые'!$B$12:$K$12,1)))*(INDEX('Исходные кривые'!$B$13:$K$13,1,MATCH(G12,'Исходные кривые'!$B$12:$K$12,1)+1)-INDEX('Исходные кривые'!$B$13:$K$13,1,MATCH(G12,'Исходные кривые'!$B$12:$K$12,1)))/(INDEX('Исходные кривые'!$B$12:$K$12,1,MATCH(G12,'Исходные кривые'!$B$12:$K$12,1)+1)-INDEX('Исходные кривые'!$B$12:$K$12,1,MATCH(G12,'Исходные кривые'!$B$12:$K$12,1)))))</x:f>
        <x:v>55.73150684931507</x:v>
      </x:c>
      <x:c r="K12" s="165" t="n">
        <x:f>IF(G12&lt;=MIN('Исходные кривые'!$B$12:$K$12),INDEX('Исходные кривые'!$B$14:$K$14,1,1),IF(G12&gt;=MAX('Исходные кривые'!$B$12:$K$12),INDEX('Исходные кривые'!$B$14:$K$14,1,COLUMNS('Исходные кривые'!$B$14:$K$14)),INDEX('Исходные кривые'!$B$14:$K$14,1,MATCH(G12,'Исходные кривые'!$B$12:$K$12,1))+(G12-INDEX('Исходные кривые'!$B$12:$K$12,1,MATCH(G12,'Исходные кривые'!$B$12:$K$12,1)))*(INDEX('Исходные кривые'!$B$14:$K$14,1,MATCH(G12,'Исходные кривые'!$B$12:$K$12,1)+1)-INDEX('Исходные кривые'!$B$14:$K$14,1,MATCH(G12,'Исходные кривые'!$B$12:$K$12,1)))/(INDEX('Исходные кривые'!$B$12:$K$12,1,MATCH(G12,'Исходные кривые'!$B$12:$K$12,1)+1)-INDEX('Исходные кривые'!$B$12:$K$12,1,MATCH(G12,'Исходные кривые'!$B$12:$K$12,1)))))</x:f>
        <x:v>-29.487671232876714</x:v>
      </x:c>
      <x:c r="L12" s="165" t="n">
        <x:f>IF(G12&lt;=MIN('Исходные кривые'!$B$17:$L$17),INDEX('Исходные кривые'!$B$18:$L$18,1,1),IF(G12&gt;=MAX('Исходные кривые'!$B$17:$L$17),INDEX('Исходные кривые'!$B$18:$L$18,1,COLUMNS('Исходные кривые'!$B$18:$L$18)),INDEX('Исходные кривые'!$B$18:$L$18,1,MATCH(G12,'Исходные кривые'!$B$17:$L$17,1))+(G12-INDEX('Исходные кривые'!$B$17:$L$17,1,MATCH(G12,'Исходные кривые'!$B$17:$L$17,1)))*(INDEX('Исходные кривые'!$B$18:$L$18,1,MATCH(G12,'Исходные кривые'!$B$17:$L$17,1)+1)-INDEX('Исходные кривые'!$B$18:$L$18,1,MATCH(G12,'Исходные кривые'!$B$17:$L$17,1)))/(INDEX('Исходные кривые'!$B$17:$L$17,1,MATCH(G12,'Исходные кривые'!$B$17:$L$17,1)+1)-INDEX('Исходные кривые'!$B$17:$L$17,1,MATCH(G12,'Исходные кривые'!$B$17:$L$17,1)))))</x:f>
        <x:v>6.945205479452055</x:v>
      </x:c>
      <x:c r="M12" s="165" t="n">
        <x:f>IF(G12&lt;=MIN('Исходные кривые'!$B$17:$L$17),INDEX('Исходные кривые'!$B$19:$L$19,1,1),IF(G12&gt;=MAX('Исходные кривые'!$B$17:$L$17),INDEX('Исходные кривые'!$B$19:$L$19,1,COLUMNS('Исходные кривые'!$B$19:$L$19)),INDEX('Исходные кривые'!$B$19:$L$19,1,MATCH(G12,'Исходные кривые'!$B$17:$L$17,1))+(G12-INDEX('Исходные кривые'!$B$17:$L$17,1,MATCH(G12,'Исходные кривые'!$B$17:$L$17,1)))*(INDEX('Исходные кривые'!$B$19:$L$19,1,MATCH(G12,'Исходные кривые'!$B$17:$L$17,1)+1)-INDEX('Исходные кривые'!$B$19:$L$19,1,MATCH(G12,'Исходные кривые'!$B$17:$L$17,1)))/(INDEX('Исходные кривые'!$B$17:$L$17,1,MATCH(G12,'Исходные кривые'!$B$17:$L$17,1)+1)-INDEX('Исходные кривые'!$B$17:$L$17,1,MATCH(G12,'Исходные кривые'!$B$17:$L$17,1)))))</x:f>
        <x:v>-4.773150684931507</x:v>
      </x:c>
    </x:row>
    <x:row r="13">
      <x:c r="A13" s="124" t="str">
        <x:v>Своп 1</x:v>
      </x:c>
      <x:c r="B13" s="125" t="n">
        <x:v>46569</x:v>
      </x:c>
      <x:c r="C13" s="125" t="n">
        <x:v>48396</x:v>
      </x:c>
      <x:c r="D13" s="124" t="n">
        <x:v>4</x:v>
      </x:c>
      <x:c r="E13" s="125" t="n">
        <x:v>46935</x:v>
      </x:c>
      <x:c r="F13" s="164" t="n">
        <x:f>E13-'Настройки'!$B$4</x:f>
        <x:v>732</x:v>
      </x:c>
      <x:c r="G13" s="165" t="n">
        <x:f>F13/'Настройки'!$B$5</x:f>
        <x:v>2.0054794520547947</x:v>
      </x:c>
      <x:c r="H13" s="165" t="n">
        <x:f>IF(G13&lt;=MIN('Исходные кривые'!$B$4:$L$4),INDEX('Исходные кривые'!$B$5:$L$5,1,1),IF(G13&gt;=MAX('Исходные кривые'!$B$4:$L$4),INDEX('Исходные кривые'!$B$5:$L$5,1,COLUMNS('Исходные кривые'!$B$5:$L$5)),INDEX('Исходные кривые'!$B$5:$L$5,1,MATCH(G13,'Исходные кривые'!$B$4:$L$4,1))+(G13-INDEX('Исходные кривые'!$B$4:$L$4,1,MATCH(G13,'Исходные кривые'!$B$4:$L$4,1)))*(INDEX('Исходные кривые'!$B$5:$L$5,1,MATCH(G13,'Исходные кривые'!$B$4:$L$4,1)+1)-INDEX('Исходные кривые'!$B$5:$L$5,1,MATCH(G13,'Исходные кривые'!$B$4:$L$4,1)))/(INDEX('Исходные кривые'!$B$4:$L$4,1,MATCH(G13,'Исходные кривые'!$B$4:$L$4,1)+1)-INDEX('Исходные кривые'!$B$4:$L$4,1,MATCH(G13,'Исходные кривые'!$B$4:$L$4,1)))))</x:f>
        <x:v>13.873287671232877</x:v>
      </x:c>
      <x:c r="I13" s="165" t="n">
        <x:f>IF(G13&lt;=MIN('Исходные кривые'!$B$8:$N$8),INDEX('Исходные кривые'!$B$9:$N$9,1,1),IF(G13&gt;=MAX('Исходные кривые'!$B$8:$N$8),INDEX('Исходные кривые'!$B$9:$N$9,1,COLUMNS('Исходные кривые'!$B$9:$N$9)),INDEX('Исходные кривые'!$B$9:$N$9,1,MATCH(G13,'Исходные кривые'!$B$8:$N$8,1))+(G13-INDEX('Исходные кривые'!$B$8:$N$8,1,MATCH(G13,'Исходные кривые'!$B$8:$N$8,1)))*(INDEX('Исходные кривые'!$B$9:$N$9,1,MATCH(G13,'Исходные кривые'!$B$8:$N$8,1)+1)-INDEX('Исходные кривые'!$B$9:$N$9,1,MATCH(G13,'Исходные кривые'!$B$8:$N$8,1)))/(INDEX('Исходные кривые'!$B$8:$N$8,1,MATCH(G13,'Исходные кривые'!$B$8:$N$8,1)+1)-INDEX('Исходные кривые'!$B$8:$N$8,1,MATCH(G13,'Исходные кривые'!$B$8:$N$8,1)))))</x:f>
        <x:v>15.873287671232877</x:v>
      </x:c>
      <x:c r="J13" s="165" t="n">
        <x:f>IF(G13&lt;=MIN('Исходные кривые'!$B$12:$K$12),INDEX('Исходные кривые'!$B$13:$K$13,1,1),IF(G13&gt;=MAX('Исходные кривые'!$B$12:$K$12),INDEX('Исходные кривые'!$B$13:$K$13,1,COLUMNS('Исходные кривые'!$B$13:$K$13)),INDEX('Исходные кривые'!$B$13:$K$13,1,MATCH(G13,'Исходные кривые'!$B$12:$K$12,1))+(G13-INDEX('Исходные кривые'!$B$12:$K$12,1,MATCH(G13,'Исходные кривые'!$B$12:$K$12,1)))*(INDEX('Исходные кривые'!$B$13:$K$13,1,MATCH(G13,'Исходные кривые'!$B$12:$K$12,1)+1)-INDEX('Исходные кривые'!$B$13:$K$13,1,MATCH(G13,'Исходные кривые'!$B$12:$K$12,1)))/(INDEX('Исходные кривые'!$B$12:$K$12,1,MATCH(G13,'Исходные кривые'!$B$12:$K$12,1)+1)-INDEX('Исходные кривые'!$B$12:$K$12,1,MATCH(G13,'Исходные кривые'!$B$12:$K$12,1)))))</x:f>
        <x:v>54.99452054794521</x:v>
      </x:c>
      <x:c r="K13" s="165" t="n">
        <x:f>IF(G13&lt;=MIN('Исходные кривые'!$B$12:$K$12),INDEX('Исходные кривые'!$B$14:$K$14,1,1),IF(G13&gt;=MAX('Исходные кривые'!$B$12:$K$12),INDEX('Исходные кривые'!$B$14:$K$14,1,COLUMNS('Исходные кривые'!$B$14:$K$14)),INDEX('Исходные кривые'!$B$14:$K$14,1,MATCH(G13,'Исходные кривые'!$B$12:$K$12,1))+(G13-INDEX('Исходные кривые'!$B$12:$K$12,1,MATCH(G13,'Исходные кривые'!$B$12:$K$12,1)))*(INDEX('Исходные кривые'!$B$14:$K$14,1,MATCH(G13,'Исходные кривые'!$B$12:$K$12,1)+1)-INDEX('Исходные кривые'!$B$14:$K$14,1,MATCH(G13,'Исходные кривые'!$B$12:$K$12,1)))/(INDEX('Исходные кривые'!$B$12:$K$12,1,MATCH(G13,'Исходные кривые'!$B$12:$K$12,1)+1)-INDEX('Исходные кривые'!$B$12:$K$12,1,MATCH(G13,'Исходные кривые'!$B$12:$K$12,1)))))</x:f>
        <x:v>-28.994520547945207</x:v>
      </x:c>
      <x:c r="L13" s="165" t="n">
        <x:f>IF(G13&lt;=MIN('Исходные кривые'!$B$17:$L$17),INDEX('Исходные кривые'!$B$18:$L$18,1,1),IF(G13&gt;=MAX('Исходные кривые'!$B$17:$L$17),INDEX('Исходные кривые'!$B$18:$L$18,1,COLUMNS('Исходные кривые'!$B$18:$L$18)),INDEX('Исходные кривые'!$B$18:$L$18,1,MATCH(G13,'Исходные кривые'!$B$17:$L$17,1))+(G13-INDEX('Исходные кривые'!$B$17:$L$17,1,MATCH(G13,'Исходные кривые'!$B$17:$L$17,1)))*(INDEX('Исходные кривые'!$B$18:$L$18,1,MATCH(G13,'Исходные кривые'!$B$17:$L$17,1)+1)-INDEX('Исходные кривые'!$B$18:$L$18,1,MATCH(G13,'Исходные кривые'!$B$17:$L$17,1)))/(INDEX('Исходные кривые'!$B$17:$L$17,1,MATCH(G13,'Исходные кривые'!$B$17:$L$17,1)+1)-INDEX('Исходные кривые'!$B$17:$L$17,1,MATCH(G13,'Исходные кривые'!$B$17:$L$17,1)))))</x:f>
        <x:v>7.245342465753424</x:v>
      </x:c>
      <x:c r="M13" s="165" t="n">
        <x:f>IF(G13&lt;=MIN('Исходные кривые'!$B$17:$L$17),INDEX('Исходные кривые'!$B$19:$L$19,1,1),IF(G13&gt;=MAX('Исходные кривые'!$B$17:$L$17),INDEX('Исходные кривые'!$B$19:$L$19,1,COLUMNS('Исходные кривые'!$B$19:$L$19)),INDEX('Исходные кривые'!$B$19:$L$19,1,MATCH(G13,'Исходные кривые'!$B$17:$L$17,1))+(G13-INDEX('Исходные кривые'!$B$17:$L$17,1,MATCH(G13,'Исходные кривые'!$B$17:$L$17,1)))*(INDEX('Исходные кривые'!$B$19:$L$19,1,MATCH(G13,'Исходные кривые'!$B$17:$L$17,1)+1)-INDEX('Исходные кривые'!$B$19:$L$19,1,MATCH(G13,'Исходные кривые'!$B$17:$L$17,1)))/(INDEX('Исходные кривые'!$B$17:$L$17,1,MATCH(G13,'Исходные кривые'!$B$17:$L$17,1)+1)-INDEX('Исходные кривые'!$B$17:$L$17,1,MATCH(G13,'Исходные кривые'!$B$17:$L$17,1)))))</x:f>
        <x:v>-4.694246575342466</x:v>
      </x:c>
    </x:row>
    <x:row r="14">
      <x:c r="A14" s="124" t="str">
        <x:v>Своп 1</x:v>
      </x:c>
      <x:c r="B14" s="125" t="n">
        <x:v>46569</x:v>
      </x:c>
      <x:c r="C14" s="125" t="n">
        <x:v>48396</x:v>
      </x:c>
      <x:c r="D14" s="124" t="n">
        <x:v>5</x:v>
      </x:c>
      <x:c r="E14" s="125" t="n">
        <x:v>47027</x:v>
      </x:c>
      <x:c r="F14" s="164" t="n">
        <x:f>E14-'Настройки'!$B$4</x:f>
        <x:v>824</x:v>
      </x:c>
      <x:c r="G14" s="165" t="n">
        <x:f>F14/'Настройки'!$B$5</x:f>
        <x:v>2.2575342465753425</x:v>
      </x:c>
      <x:c r="H14" s="165" t="n">
        <x:f>IF(G14&lt;=MIN('Исходные кривые'!$B$4:$L$4),INDEX('Исходные кривые'!$B$5:$L$5,1,1),IF(G14&gt;=MAX('Исходные кривые'!$B$4:$L$4),INDEX('Исходные кривые'!$B$5:$L$5,1,COLUMNS('Исходные кривые'!$B$5:$L$5)),INDEX('Исходные кривые'!$B$5:$L$5,1,MATCH(G14,'Исходные кривые'!$B$4:$L$4,1))+(G14-INDEX('Исходные кривые'!$B$4:$L$4,1,MATCH(G14,'Исходные кривые'!$B$4:$L$4,1)))*(INDEX('Исходные кривые'!$B$5:$L$5,1,MATCH(G14,'Исходные кривые'!$B$4:$L$4,1)+1)-INDEX('Исходные кривые'!$B$5:$L$5,1,MATCH(G14,'Исходные кривые'!$B$4:$L$4,1)))/(INDEX('Исходные кривые'!$B$4:$L$4,1,MATCH(G14,'Исходные кривые'!$B$4:$L$4,1)+1)-INDEX('Исходные кривые'!$B$4:$L$4,1,MATCH(G14,'Исходные кривые'!$B$4:$L$4,1)))))</x:f>
        <x:v>14.024520547945205</x:v>
      </x:c>
      <x:c r="I14" s="165" t="n">
        <x:f>IF(G14&lt;=MIN('Исходные кривые'!$B$8:$N$8),INDEX('Исходные кривые'!$B$9:$N$9,1,1),IF(G14&gt;=MAX('Исходные кривые'!$B$8:$N$8),INDEX('Исходные кривые'!$B$9:$N$9,1,COLUMNS('Исходные кривые'!$B$9:$N$9)),INDEX('Исходные кривые'!$B$9:$N$9,1,MATCH(G14,'Исходные кривые'!$B$8:$N$8,1))+(G14-INDEX('Исходные кривые'!$B$8:$N$8,1,MATCH(G14,'Исходные кривые'!$B$8:$N$8,1)))*(INDEX('Исходные кривые'!$B$9:$N$9,1,MATCH(G14,'Исходные кривые'!$B$8:$N$8,1)+1)-INDEX('Исходные кривые'!$B$9:$N$9,1,MATCH(G14,'Исходные кривые'!$B$8:$N$8,1)))/(INDEX('Исходные кривые'!$B$8:$N$8,1,MATCH(G14,'Исходные кривые'!$B$8:$N$8,1)+1)-INDEX('Исходные кривые'!$B$8:$N$8,1,MATCH(G14,'Исходные кривые'!$B$8:$N$8,1)))))</x:f>
        <x:v>16.024520547945205</x:v>
      </x:c>
      <x:c r="J14" s="165" t="n">
        <x:f>IF(G14&lt;=MIN('Исходные кривые'!$B$12:$K$12),INDEX('Исходные кривые'!$B$13:$K$13,1,1),IF(G14&gt;=MAX('Исходные кривые'!$B$12:$K$12),INDEX('Исходные кривые'!$B$13:$K$13,1,COLUMNS('Исходные кривые'!$B$13:$K$13)),INDEX('Исходные кривые'!$B$13:$K$13,1,MATCH(G14,'Исходные кривые'!$B$12:$K$12,1))+(G14-INDEX('Исходные кривые'!$B$12:$K$12,1,MATCH(G14,'Исходные кривые'!$B$12:$K$12,1)))*(INDEX('Исходные кривые'!$B$13:$K$13,1,MATCH(G14,'Исходные кривые'!$B$12:$K$12,1)+1)-INDEX('Исходные кривые'!$B$13:$K$13,1,MATCH(G14,'Исходные кривые'!$B$12:$K$12,1)))/(INDEX('Исходные кривые'!$B$12:$K$12,1,MATCH(G14,'Исходные кривые'!$B$12:$K$12,1)+1)-INDEX('Исходные кривые'!$B$12:$K$12,1,MATCH(G14,'Исходные кривые'!$B$12:$K$12,1)))))</x:f>
        <x:v>54.74246575342466</x:v>
      </x:c>
      <x:c r="K14" s="165" t="n">
        <x:f>IF(G14&lt;=MIN('Исходные кривые'!$B$12:$K$12),INDEX('Исходные кривые'!$B$14:$K$14,1,1),IF(G14&gt;=MAX('Исходные кривые'!$B$12:$K$12),INDEX('Исходные кривые'!$B$14:$K$14,1,COLUMNS('Исходные кривые'!$B$14:$K$14)),INDEX('Исходные кривые'!$B$14:$K$14,1,MATCH(G14,'Исходные кривые'!$B$12:$K$12,1))+(G14-INDEX('Исходные кривые'!$B$12:$K$12,1,MATCH(G14,'Исходные кривые'!$B$12:$K$12,1)))*(INDEX('Исходные кривые'!$B$14:$K$14,1,MATCH(G14,'Исходные кривые'!$B$12:$K$12,1)+1)-INDEX('Исходные кривые'!$B$14:$K$14,1,MATCH(G14,'Исходные кривые'!$B$12:$K$12,1)))/(INDEX('Исходные кривые'!$B$12:$K$12,1,MATCH(G14,'Исходные кривые'!$B$12:$K$12,1)+1)-INDEX('Исходные кривые'!$B$12:$K$12,1,MATCH(G14,'Исходные кривые'!$B$12:$K$12,1)))))</x:f>
        <x:v>-28.742465753424657</x:v>
      </x:c>
      <x:c r="L14" s="165" t="n">
        <x:f>IF(G14&lt;=MIN('Исходные кривые'!$B$17:$L$17),INDEX('Исходные кривые'!$B$18:$L$18,1,1),IF(G14&gt;=MAX('Исходные кривые'!$B$17:$L$17),INDEX('Исходные кривые'!$B$18:$L$18,1,COLUMNS('Исходные кривые'!$B$18:$L$18)),INDEX('Исходные кривые'!$B$18:$L$18,1,MATCH(G14,'Исходные кривые'!$B$17:$L$17,1))+(G14-INDEX('Исходные кривые'!$B$17:$L$17,1,MATCH(G14,'Исходные кривые'!$B$17:$L$17,1)))*(INDEX('Исходные кривые'!$B$18:$L$18,1,MATCH(G14,'Исходные кривые'!$B$17:$L$17,1)+1)-INDEX('Исходные кривые'!$B$18:$L$18,1,MATCH(G14,'Исходные кривые'!$B$17:$L$17,1)))/(INDEX('Исходные кривые'!$B$17:$L$17,1,MATCH(G14,'Исходные кривые'!$B$17:$L$17,1)+1)-INDEX('Исходные кривые'!$B$17:$L$17,1,MATCH(G14,'Исходные кривые'!$B$17:$L$17,1)))))</x:f>
        <x:v>7.031095890410959</x:v>
      </x:c>
      <x:c r="M14" s="165" t="n">
        <x:f>IF(G14&lt;=MIN('Исходные кривые'!$B$17:$L$17),INDEX('Исходные кривые'!$B$19:$L$19,1,1),IF(G14&gt;=MAX('Исходные кривые'!$B$17:$L$17),INDEX('Исходные кривые'!$B$19:$L$19,1,COLUMNS('Исходные кривые'!$B$19:$L$19)),INDEX('Исходные кривые'!$B$19:$L$19,1,MATCH(G14,'Исходные кривые'!$B$17:$L$17,1))+(G14-INDEX('Исходные кривые'!$B$17:$L$17,1,MATCH(G14,'Исходные кривые'!$B$17:$L$17,1)))*(INDEX('Исходные кривые'!$B$19:$L$19,1,MATCH(G14,'Исходные кривые'!$B$17:$L$17,1)+1)-INDEX('Исходные кривые'!$B$19:$L$19,1,MATCH(G14,'Исходные кривые'!$B$17:$L$17,1)))/(INDEX('Исходные кривые'!$B$17:$L$17,1,MATCH(G14,'Исходные кривые'!$B$17:$L$17,1)+1)-INDEX('Исходные кривые'!$B$17:$L$17,1,MATCH(G14,'Исходные кривые'!$B$17:$L$17,1)))))</x:f>
        <x:v>-4.42958904109589</x:v>
      </x:c>
    </x:row>
    <x:row r="15">
      <x:c r="A15" s="124" t="str">
        <x:v>Своп 1</x:v>
      </x:c>
      <x:c r="B15" s="125" t="n">
        <x:v>46569</x:v>
      </x:c>
      <x:c r="C15" s="125" t="n">
        <x:v>48396</x:v>
      </x:c>
      <x:c r="D15" s="124" t="n">
        <x:v>6</x:v>
      </x:c>
      <x:c r="E15" s="125" t="n">
        <x:v>47119</x:v>
      </x:c>
      <x:c r="F15" s="164" t="n">
        <x:f>E15-'Настройки'!$B$4</x:f>
        <x:v>916</x:v>
      </x:c>
      <x:c r="G15" s="165" t="n">
        <x:f>F15/'Настройки'!$B$5</x:f>
        <x:v>2.5095890410958903</x:v>
      </x:c>
      <x:c r="H15" s="165" t="n">
        <x:f>IF(G15&lt;=MIN('Исходные кривые'!$B$4:$L$4),INDEX('Исходные кривые'!$B$5:$L$5,1,1),IF(G15&gt;=MAX('Исходные кривые'!$B$4:$L$4),INDEX('Исходные кривые'!$B$5:$L$5,1,COLUMNS('Исходные кривые'!$B$5:$L$5)),INDEX('Исходные кривые'!$B$5:$L$5,1,MATCH(G15,'Исходные кривые'!$B$4:$L$4,1))+(G15-INDEX('Исходные кривые'!$B$4:$L$4,1,MATCH(G15,'Исходные кривые'!$B$4:$L$4,1)))*(INDEX('Исходные кривые'!$B$5:$L$5,1,MATCH(G15,'Исходные кривые'!$B$4:$L$4,1)+1)-INDEX('Исходные кривые'!$B$5:$L$5,1,MATCH(G15,'Исходные кривые'!$B$4:$L$4,1)))/(INDEX('Исходные кривые'!$B$4:$L$4,1,MATCH(G15,'Исходные кривые'!$B$4:$L$4,1)+1)-INDEX('Исходные кривые'!$B$4:$L$4,1,MATCH(G15,'Исходные кривые'!$B$4:$L$4,1)))))</x:f>
        <x:v>14.175753424657534</x:v>
      </x:c>
      <x:c r="I15" s="165" t="n">
        <x:f>IF(G15&lt;=MIN('Исходные кривые'!$B$8:$N$8),INDEX('Исходные кривые'!$B$9:$N$9,1,1),IF(G15&gt;=MAX('Исходные кривые'!$B$8:$N$8),INDEX('Исходные кривые'!$B$9:$N$9,1,COLUMNS('Исходные кривые'!$B$9:$N$9)),INDEX('Исходные кривые'!$B$9:$N$9,1,MATCH(G15,'Исходные кривые'!$B$8:$N$8,1))+(G15-INDEX('Исходные кривые'!$B$8:$N$8,1,MATCH(G15,'Исходные кривые'!$B$8:$N$8,1)))*(INDEX('Исходные кривые'!$B$9:$N$9,1,MATCH(G15,'Исходные кривые'!$B$8:$N$8,1)+1)-INDEX('Исходные кривые'!$B$9:$N$9,1,MATCH(G15,'Исходные кривые'!$B$8:$N$8,1)))/(INDEX('Исходные кривые'!$B$8:$N$8,1,MATCH(G15,'Исходные кривые'!$B$8:$N$8,1)+1)-INDEX('Исходные кривые'!$B$8:$N$8,1,MATCH(G15,'Исходные кривые'!$B$8:$N$8,1)))))</x:f>
        <x:v>16.175753424657533</x:v>
      </x:c>
      <x:c r="J15" s="165" t="n">
        <x:f>IF(G15&lt;=MIN('Исходные кривые'!$B$12:$K$12),INDEX('Исходные кривые'!$B$13:$K$13,1,1),IF(G15&gt;=MAX('Исходные кривые'!$B$12:$K$12),INDEX('Исходные кривые'!$B$13:$K$13,1,COLUMNS('Исходные кривые'!$B$13:$K$13)),INDEX('Исходные кривые'!$B$13:$K$13,1,MATCH(G15,'Исходные кривые'!$B$12:$K$12,1))+(G15-INDEX('Исходные кривые'!$B$12:$K$12,1,MATCH(G15,'Исходные кривые'!$B$12:$K$12,1)))*(INDEX('Исходные кривые'!$B$13:$K$13,1,MATCH(G15,'Исходные кривые'!$B$12:$K$12,1)+1)-INDEX('Исходные кривые'!$B$13:$K$13,1,MATCH(G15,'Исходные кривые'!$B$12:$K$12,1)))/(INDEX('Исходные кривые'!$B$12:$K$12,1,MATCH(G15,'Исходные кривые'!$B$12:$K$12,1)+1)-INDEX('Исходные кривые'!$B$12:$K$12,1,MATCH(G15,'Исходные кривые'!$B$12:$K$12,1)))))</x:f>
        <x:v>54.49041095890411</x:v>
      </x:c>
      <x:c r="K15" s="165" t="n">
        <x:f>IF(G15&lt;=MIN('Исходные кривые'!$B$12:$K$12),INDEX('Исходные кривые'!$B$14:$K$14,1,1),IF(G15&gt;=MAX('Исходные кривые'!$B$12:$K$12),INDEX('Исходные кривые'!$B$14:$K$14,1,COLUMNS('Исходные кривые'!$B$14:$K$14)),INDEX('Исходные кривые'!$B$14:$K$14,1,MATCH(G15,'Исходные кривые'!$B$12:$K$12,1))+(G15-INDEX('Исходные кривые'!$B$12:$K$12,1,MATCH(G15,'Исходные кривые'!$B$12:$K$12,1)))*(INDEX('Исходные кривые'!$B$14:$K$14,1,MATCH(G15,'Исходные кривые'!$B$12:$K$12,1)+1)-INDEX('Исходные кривые'!$B$14:$K$14,1,MATCH(G15,'Исходные кривые'!$B$12:$K$12,1)))/(INDEX('Исходные кривые'!$B$12:$K$12,1,MATCH(G15,'Исходные кривые'!$B$12:$K$12,1)+1)-INDEX('Исходные кривые'!$B$12:$K$12,1,MATCH(G15,'Исходные кривые'!$B$12:$K$12,1)))))</x:f>
        <x:v>-28.49041095890411</x:v>
      </x:c>
      <x:c r="L15" s="165" t="n">
        <x:f>IF(G15&lt;=MIN('Исходные кривые'!$B$17:$L$17),INDEX('Исходные кривые'!$B$18:$L$18,1,1),IF(G15&gt;=MAX('Исходные кривые'!$B$17:$L$17),INDEX('Исходные кривые'!$B$18:$L$18,1,COLUMNS('Исходные кривые'!$B$18:$L$18)),INDEX('Исходные кривые'!$B$18:$L$18,1,MATCH(G15,'Исходные кривые'!$B$17:$L$17,1))+(G15-INDEX('Исходные кривые'!$B$17:$L$17,1,MATCH(G15,'Исходные кривые'!$B$17:$L$17,1)))*(INDEX('Исходные кривые'!$B$18:$L$18,1,MATCH(G15,'Исходные кривые'!$B$17:$L$17,1)+1)-INDEX('Исходные кривые'!$B$18:$L$18,1,MATCH(G15,'Исходные кривые'!$B$17:$L$17,1)))/(INDEX('Исходные кривые'!$B$17:$L$17,1,MATCH(G15,'Исходные кривые'!$B$17:$L$17,1)+1)-INDEX('Исходные кривые'!$B$17:$L$17,1,MATCH(G15,'Исходные кривые'!$B$17:$L$17,1)))))</x:f>
        <x:v>6.8168493150684935</x:v>
      </x:c>
      <x:c r="M15" s="165" t="n">
        <x:f>IF(G15&lt;=MIN('Исходные кривые'!$B$17:$L$17),INDEX('Исходные кривые'!$B$19:$L$19,1,1),IF(G15&gt;=MAX('Исходные кривые'!$B$17:$L$17),INDEX('Исходные кривые'!$B$19:$L$19,1,COLUMNS('Исходные кривые'!$B$19:$L$19)),INDEX('Исходные кривые'!$B$19:$L$19,1,MATCH(G15,'Исходные кривые'!$B$17:$L$17,1))+(G15-INDEX('Исходные кривые'!$B$17:$L$17,1,MATCH(G15,'Исходные кривые'!$B$17:$L$17,1)))*(INDEX('Исходные кривые'!$B$19:$L$19,1,MATCH(G15,'Исходные кривые'!$B$17:$L$17,1)+1)-INDEX('Исходные кривые'!$B$19:$L$19,1,MATCH(G15,'Исходные кривые'!$B$17:$L$17,1)))/(INDEX('Исходные кривые'!$B$17:$L$17,1,MATCH(G15,'Исходные кривые'!$B$17:$L$17,1)+1)-INDEX('Исходные кривые'!$B$17:$L$17,1,MATCH(G15,'Исходные кривые'!$B$17:$L$17,1)))))</x:f>
        <x:v>-4.164931506849316</x:v>
      </x:c>
    </x:row>
    <x:row r="16">
      <x:c r="A16" s="124" t="str">
        <x:v>Своп 1</x:v>
      </x:c>
      <x:c r="B16" s="125" t="n">
        <x:v>46569</x:v>
      </x:c>
      <x:c r="C16" s="125" t="n">
        <x:v>48396</x:v>
      </x:c>
      <x:c r="D16" s="124" t="n">
        <x:v>7</x:v>
      </x:c>
      <x:c r="E16" s="125" t="n">
        <x:v>47209</x:v>
      </x:c>
      <x:c r="F16" s="164" t="n">
        <x:f>E16-'Настройки'!$B$4</x:f>
        <x:v>1006</x:v>
      </x:c>
      <x:c r="G16" s="165" t="n">
        <x:f>F16/'Настройки'!$B$5</x:f>
        <x:v>2.756164383561644</x:v>
      </x:c>
      <x:c r="H16" s="165" t="n">
        <x:f>IF(G16&lt;=MIN('Исходные кривые'!$B$4:$L$4),INDEX('Исходные кривые'!$B$5:$L$5,1,1),IF(G16&gt;=MAX('Исходные кривые'!$B$4:$L$4),INDEX('Исходные кривые'!$B$5:$L$5,1,COLUMNS('Исходные кривые'!$B$5:$L$5)),INDEX('Исходные кривые'!$B$5:$L$5,1,MATCH(G16,'Исходные кривые'!$B$4:$L$4,1))+(G16-INDEX('Исходные кривые'!$B$4:$L$4,1,MATCH(G16,'Исходные кривые'!$B$4:$L$4,1)))*(INDEX('Исходные кривые'!$B$5:$L$5,1,MATCH(G16,'Исходные кривые'!$B$4:$L$4,1)+1)-INDEX('Исходные кривые'!$B$5:$L$5,1,MATCH(G16,'Исходные кривые'!$B$4:$L$4,1)))/(INDEX('Исходные кривые'!$B$4:$L$4,1,MATCH(G16,'Исходные кривые'!$B$4:$L$4,1)+1)-INDEX('Исходные кривые'!$B$4:$L$4,1,MATCH(G16,'Исходные кривые'!$B$4:$L$4,1)))))</x:f>
        <x:v>14.323698630136986</x:v>
      </x:c>
      <x:c r="I16" s="165" t="n">
        <x:f>IF(G16&lt;=MIN('Исходные кривые'!$B$8:$N$8),INDEX('Исходные кривые'!$B$9:$N$9,1,1),IF(G16&gt;=MAX('Исходные кривые'!$B$8:$N$8),INDEX('Исходные кривые'!$B$9:$N$9,1,COLUMNS('Исходные кривые'!$B$9:$N$9)),INDEX('Исходные кривые'!$B$9:$N$9,1,MATCH(G16,'Исходные кривые'!$B$8:$N$8,1))+(G16-INDEX('Исходные кривые'!$B$8:$N$8,1,MATCH(G16,'Исходные кривые'!$B$8:$N$8,1)))*(INDEX('Исходные кривые'!$B$9:$N$9,1,MATCH(G16,'Исходные кривые'!$B$8:$N$8,1)+1)-INDEX('Исходные кривые'!$B$9:$N$9,1,MATCH(G16,'Исходные кривые'!$B$8:$N$8,1)))/(INDEX('Исходные кривые'!$B$8:$N$8,1,MATCH(G16,'Исходные кривые'!$B$8:$N$8,1)+1)-INDEX('Исходные кривые'!$B$8:$N$8,1,MATCH(G16,'Исходные кривые'!$B$8:$N$8,1)))))</x:f>
        <x:v>16.323698630136985</x:v>
      </x:c>
      <x:c r="J16" s="165" t="n">
        <x:f>IF(G16&lt;=MIN('Исходные кривые'!$B$12:$K$12),INDEX('Исходные кривые'!$B$13:$K$13,1,1),IF(G16&gt;=MAX('Исходные кривые'!$B$12:$K$12),INDEX('Исходные кривые'!$B$13:$K$13,1,COLUMNS('Исходные кривые'!$B$13:$K$13)),INDEX('Исходные кривые'!$B$13:$K$13,1,MATCH(G16,'Исходные кривые'!$B$12:$K$12,1))+(G16-INDEX('Исходные кривые'!$B$12:$K$12,1,MATCH(G16,'Исходные кривые'!$B$12:$K$12,1)))*(INDEX('Исходные кривые'!$B$13:$K$13,1,MATCH(G16,'Исходные кривые'!$B$12:$K$12,1)+1)-INDEX('Исходные кривые'!$B$13:$K$13,1,MATCH(G16,'Исходные кривые'!$B$12:$K$12,1)))/(INDEX('Исходные кривые'!$B$12:$K$12,1,MATCH(G16,'Исходные кривые'!$B$12:$K$12,1)+1)-INDEX('Исходные кривые'!$B$12:$K$12,1,MATCH(G16,'Исходные кривые'!$B$12:$K$12,1)))))</x:f>
        <x:v>54.24383561643835</x:v>
      </x:c>
      <x:c r="K16" s="165" t="n">
        <x:f>IF(G16&lt;=MIN('Исходные кривые'!$B$12:$K$12),INDEX('Исходные кривые'!$B$14:$K$14,1,1),IF(G16&gt;=MAX('Исходные кривые'!$B$12:$K$12),INDEX('Исходные кривые'!$B$14:$K$14,1,COLUMNS('Исходные кривые'!$B$14:$K$14)),INDEX('Исходные кривые'!$B$14:$K$14,1,MATCH(G16,'Исходные кривые'!$B$12:$K$12,1))+(G16-INDEX('Исходные кривые'!$B$12:$K$12,1,MATCH(G16,'Исходные кривые'!$B$12:$K$12,1)))*(INDEX('Исходные кривые'!$B$14:$K$14,1,MATCH(G16,'Исходные кривые'!$B$12:$K$12,1)+1)-INDEX('Исходные кривые'!$B$14:$K$14,1,MATCH(G16,'Исходные кривые'!$B$12:$K$12,1)))/(INDEX('Исходные кривые'!$B$12:$K$12,1,MATCH(G16,'Исходные кривые'!$B$12:$K$12,1)+1)-INDEX('Исходные кривые'!$B$12:$K$12,1,MATCH(G16,'Исходные кривые'!$B$12:$K$12,1)))))</x:f>
        <x:v>-28.243835616438357</x:v>
      </x:c>
      <x:c r="L16" s="165" t="n">
        <x:f>IF(G16&lt;=MIN('Исходные кривые'!$B$17:$L$17),INDEX('Исходные кривые'!$B$18:$L$18,1,1),IF(G16&gt;=MAX('Исходные кривые'!$B$17:$L$17),INDEX('Исходные кривые'!$B$18:$L$18,1,COLUMNS('Исходные кривые'!$B$18:$L$18)),INDEX('Исходные кривые'!$B$18:$L$18,1,MATCH(G16,'Исходные кривые'!$B$17:$L$17,1))+(G16-INDEX('Исходные кривые'!$B$17:$L$17,1,MATCH(G16,'Исходные кривые'!$B$17:$L$17,1)))*(INDEX('Исходные кривые'!$B$18:$L$18,1,MATCH(G16,'Исходные кривые'!$B$17:$L$17,1)+1)-INDEX('Исходные кривые'!$B$18:$L$18,1,MATCH(G16,'Исходные кривые'!$B$17:$L$17,1)))/(INDEX('Исходные кривые'!$B$17:$L$17,1,MATCH(G16,'Исходные кривые'!$B$17:$L$17,1)+1)-INDEX('Исходные кривые'!$B$17:$L$17,1,MATCH(G16,'Исходные кривые'!$B$17:$L$17,1)))))</x:f>
        <x:v>6.607260273972603</x:v>
      </x:c>
      <x:c r="M16" s="165" t="n">
        <x:f>IF(G16&lt;=MIN('Исходные кривые'!$B$17:$L$17),INDEX('Исходные кривые'!$B$19:$L$19,1,1),IF(G16&gt;=MAX('Исходные кривые'!$B$17:$L$17),INDEX('Исходные кривые'!$B$19:$L$19,1,COLUMNS('Исходные кривые'!$B$19:$L$19)),INDEX('Исходные кривые'!$B$19:$L$19,1,MATCH(G16,'Исходные кривые'!$B$17:$L$17,1))+(G16-INDEX('Исходные кривые'!$B$17:$L$17,1,MATCH(G16,'Исходные кривые'!$B$17:$L$17,1)))*(INDEX('Исходные кривые'!$B$19:$L$19,1,MATCH(G16,'Исходные кривые'!$B$17:$L$17,1)+1)-INDEX('Исходные кривые'!$B$19:$L$19,1,MATCH(G16,'Исходные кривые'!$B$17:$L$17,1)))/(INDEX('Исходные кривые'!$B$17:$L$17,1,MATCH(G16,'Исходные кривые'!$B$17:$L$17,1)+1)-INDEX('Исходные кривые'!$B$17:$L$17,1,MATCH(G16,'Исходные кривые'!$B$17:$L$17,1)))))</x:f>
        <x:v>-3.906027397260274</x:v>
      </x:c>
    </x:row>
    <x:row r="17">
      <x:c r="A17" s="124" t="str">
        <x:v>Своп 1</x:v>
      </x:c>
      <x:c r="B17" s="125" t="n">
        <x:v>46569</x:v>
      </x:c>
      <x:c r="C17" s="125" t="n">
        <x:v>48396</x:v>
      </x:c>
      <x:c r="D17" s="124" t="n">
        <x:v>8</x:v>
      </x:c>
      <x:c r="E17" s="125" t="n">
        <x:v>47300</x:v>
      </x:c>
      <x:c r="F17" s="164" t="n">
        <x:f>E17-'Настройки'!$B$4</x:f>
        <x:v>1097</x:v>
      </x:c>
      <x:c r="G17" s="165" t="n">
        <x:f>F17/'Настройки'!$B$5</x:f>
        <x:v>3.0054794520547947</x:v>
      </x:c>
      <x:c r="H17" s="165" t="n">
        <x:f>IF(G17&lt;=MIN('Исходные кривые'!$B$4:$L$4),INDEX('Исходные кривые'!$B$5:$L$5,1,1),IF(G17&gt;=MAX('Исходные кривые'!$B$4:$L$4),INDEX('Исходные кривые'!$B$5:$L$5,1,COLUMNS('Исходные кривые'!$B$5:$L$5)),INDEX('Исходные кривые'!$B$5:$L$5,1,MATCH(G17,'Исходные кривые'!$B$4:$L$4,1))+(G17-INDEX('Исходные кривые'!$B$4:$L$4,1,MATCH(G17,'Исходные кривые'!$B$4:$L$4,1)))*(INDEX('Исходные кривые'!$B$5:$L$5,1,MATCH(G17,'Исходные кривые'!$B$4:$L$4,1)+1)-INDEX('Исходные кривые'!$B$5:$L$5,1,MATCH(G17,'Исходные кривые'!$B$4:$L$4,1)))/(INDEX('Исходные кривые'!$B$4:$L$4,1,MATCH(G17,'Исходные кривые'!$B$4:$L$4,1)+1)-INDEX('Исходные кривые'!$B$4:$L$4,1,MATCH(G17,'Исходные кривые'!$B$4:$L$4,1)))))</x:f>
        <x:v>14.472602739726028</x:v>
      </x:c>
      <x:c r="I17" s="165" t="n">
        <x:f>IF(G17&lt;=MIN('Исходные кривые'!$B$8:$N$8),INDEX('Исходные кривые'!$B$9:$N$9,1,1),IF(G17&gt;=MAX('Исходные кривые'!$B$8:$N$8),INDEX('Исходные кривые'!$B$9:$N$9,1,COLUMNS('Исходные кривые'!$B$9:$N$9)),INDEX('Исходные кривые'!$B$9:$N$9,1,MATCH(G17,'Исходные кривые'!$B$8:$N$8,1))+(G17-INDEX('Исходные кривые'!$B$8:$N$8,1,MATCH(G17,'Исходные кривые'!$B$8:$N$8,1)))*(INDEX('Исходные кривые'!$B$9:$N$9,1,MATCH(G17,'Исходные кривые'!$B$8:$N$8,1)+1)-INDEX('Исходные кривые'!$B$9:$N$9,1,MATCH(G17,'Исходные кривые'!$B$8:$N$8,1)))/(INDEX('Исходные кривые'!$B$8:$N$8,1,MATCH(G17,'Исходные кривые'!$B$8:$N$8,1)+1)-INDEX('Исходные кривые'!$B$8:$N$8,1,MATCH(G17,'Исходные кривые'!$B$8:$N$8,1)))))</x:f>
        <x:v>16.472602739726025</x:v>
      </x:c>
      <x:c r="J17" s="165" t="n">
        <x:f>IF(G17&lt;=MIN('Исходные кривые'!$B$12:$K$12),INDEX('Исходные кривые'!$B$13:$K$13,1,1),IF(G17&gt;=MAX('Исходные кривые'!$B$12:$K$12),INDEX('Исходные кривые'!$B$13:$K$13,1,COLUMNS('Исходные кривые'!$B$13:$K$13)),INDEX('Исходные кривые'!$B$13:$K$13,1,MATCH(G17,'Исходные кривые'!$B$12:$K$12,1))+(G17-INDEX('Исходные кривые'!$B$12:$K$12,1,MATCH(G17,'Исходные кривые'!$B$12:$K$12,1)))*(INDEX('Исходные кривые'!$B$13:$K$13,1,MATCH(G17,'Исходные кривые'!$B$12:$K$12,1)+1)-INDEX('Исходные кривые'!$B$13:$K$13,1,MATCH(G17,'Исходные кривые'!$B$12:$K$12,1)))/(INDEX('Исходные кривые'!$B$12:$K$12,1,MATCH(G17,'Исходные кривые'!$B$12:$K$12,1)+1)-INDEX('Исходные кривые'!$B$12:$K$12,1,MATCH(G17,'Исходные кривые'!$B$12:$K$12,1)))))</x:f>
        <x:v>53.983561643835614</x:v>
      </x:c>
      <x:c r="K17" s="165" t="n">
        <x:f>IF(G17&lt;=MIN('Исходные кривые'!$B$12:$K$12),INDEX('Исходные кривые'!$B$14:$K$14,1,1),IF(G17&gt;=MAX('Исходные кривые'!$B$12:$K$12),INDEX('Исходные кривые'!$B$14:$K$14,1,COLUMNS('Исходные кривые'!$B$14:$K$14)),INDEX('Исходные кривые'!$B$14:$K$14,1,MATCH(G17,'Исходные кривые'!$B$12:$K$12,1))+(G17-INDEX('Исходные кривые'!$B$12:$K$12,1,MATCH(G17,'Исходные кривые'!$B$12:$K$12,1)))*(INDEX('Исходные кривые'!$B$14:$K$14,1,MATCH(G17,'Исходные кривые'!$B$12:$K$12,1)+1)-INDEX('Исходные кривые'!$B$14:$K$14,1,MATCH(G17,'Исходные кривые'!$B$12:$K$12,1)))/(INDEX('Исходные кривые'!$B$12:$K$12,1,MATCH(G17,'Исходные кривые'!$B$12:$K$12,1)+1)-INDEX('Исходные кривые'!$B$12:$K$12,1,MATCH(G17,'Исходные кривые'!$B$12:$K$12,1)))))</x:f>
        <x:v>-27.997260273972604</x:v>
      </x:c>
      <x:c r="L17" s="165" t="n">
        <x:f>IF(G17&lt;=MIN('Исходные кривые'!$B$17:$L$17),INDEX('Исходные кривые'!$B$18:$L$18,1,1),IF(G17&gt;=MAX('Исходные кривые'!$B$17:$L$17),INDEX('Исходные кривые'!$B$18:$L$18,1,COLUMNS('Исходные кривые'!$B$18:$L$18)),INDEX('Исходные кривые'!$B$18:$L$18,1,MATCH(G17,'Исходные кривые'!$B$17:$L$17,1))+(G17-INDEX('Исходные кривые'!$B$17:$L$17,1,MATCH(G17,'Исходные кривые'!$B$17:$L$17,1)))*(INDEX('Исходные кривые'!$B$18:$L$18,1,MATCH(G17,'Исходные кривые'!$B$17:$L$17,1)+1)-INDEX('Исходные кривые'!$B$18:$L$18,1,MATCH(G17,'Исходные кривые'!$B$17:$L$17,1)))/(INDEX('Исходные кривые'!$B$17:$L$17,1,MATCH(G17,'Исходные кривые'!$B$17:$L$17,1)+1)-INDEX('Исходные кривые'!$B$17:$L$17,1,MATCH(G17,'Исходные кривые'!$B$17:$L$17,1)))))</x:f>
        <x:v>6.398630136986302</x:v>
      </x:c>
      <x:c r="M17" s="165" t="n">
        <x:f>IF(G17&lt;=MIN('Исходные кривые'!$B$17:$L$17),INDEX('Исходные кривые'!$B$19:$L$19,1,1),IF(G17&gt;=MAX('Исходные кривые'!$B$17:$L$17),INDEX('Исходные кривые'!$B$19:$L$19,1,COLUMNS('Исходные кривые'!$B$19:$L$19)),INDEX('Исходные кривые'!$B$19:$L$19,1,MATCH(G17,'Исходные кривые'!$B$17:$L$17,1))+(G17-INDEX('Исходные кривые'!$B$17:$L$17,1,MATCH(G17,'Исходные кривые'!$B$17:$L$17,1)))*(INDEX('Исходные кривые'!$B$19:$L$19,1,MATCH(G17,'Исходные кривые'!$B$17:$L$17,1)+1)-INDEX('Исходные кривые'!$B$19:$L$19,1,MATCH(G17,'Исходные кривые'!$B$17:$L$17,1)))/(INDEX('Исходные кривые'!$B$17:$L$17,1,MATCH(G17,'Исходные кривые'!$B$17:$L$17,1)+1)-INDEX('Исходные кривые'!$B$17:$L$17,1,MATCH(G17,'Исходные кривые'!$B$17:$L$17,1)))))</x:f>
        <x:v>-3.6456164383561642</x:v>
      </x:c>
    </x:row>
    <x:row r="18">
      <x:c r="A18" s="124" t="str">
        <x:v>Своп 1</x:v>
      </x:c>
      <x:c r="B18" s="125" t="n">
        <x:v>46569</x:v>
      </x:c>
      <x:c r="C18" s="125" t="n">
        <x:v>48396</x:v>
      </x:c>
      <x:c r="D18" s="124" t="n">
        <x:v>9</x:v>
      </x:c>
      <x:c r="E18" s="125" t="n">
        <x:v>47392</x:v>
      </x:c>
      <x:c r="F18" s="164" t="n">
        <x:f>E18-'Настройки'!$B$4</x:f>
        <x:v>1189</x:v>
      </x:c>
      <x:c r="G18" s="165" t="n">
        <x:f>F18/'Настройки'!$B$5</x:f>
        <x:v>3.2575342465753425</x:v>
      </x:c>
      <x:c r="H18" s="165" t="n">
        <x:f>IF(G18&lt;=MIN('Исходные кривые'!$B$4:$L$4),INDEX('Исходные кривые'!$B$5:$L$5,1,1),IF(G18&gt;=MAX('Исходные кривые'!$B$4:$L$4),INDEX('Исходные кривые'!$B$5:$L$5,1,COLUMNS('Исходные кривые'!$B$5:$L$5)),INDEX('Исходные кривые'!$B$5:$L$5,1,MATCH(G18,'Исходные кривые'!$B$4:$L$4,1))+(G18-INDEX('Исходные кривые'!$B$4:$L$4,1,MATCH(G18,'Исходные кривые'!$B$4:$L$4,1)))*(INDEX('Исходные кривые'!$B$5:$L$5,1,MATCH(G18,'Исходные кривые'!$B$4:$L$4,1)+1)-INDEX('Исходные кривые'!$B$5:$L$5,1,MATCH(G18,'Исходные кривые'!$B$4:$L$4,1)))/(INDEX('Исходные кривые'!$B$4:$L$4,1,MATCH(G18,'Исходные кривые'!$B$4:$L$4,1)+1)-INDEX('Исходные кривые'!$B$4:$L$4,1,MATCH(G18,'Исходные кривые'!$B$4:$L$4,1)))))</x:f>
        <x:v>14.592328767123288</x:v>
      </x:c>
      <x:c r="I18" s="165" t="n">
        <x:f>IF(G18&lt;=MIN('Исходные кривые'!$B$8:$N$8),INDEX('Исходные кривые'!$B$9:$N$9,1,1),IF(G18&gt;=MAX('Исходные кривые'!$B$8:$N$8),INDEX('Исходные кривые'!$B$9:$N$9,1,COLUMNS('Исходные кривые'!$B$9:$N$9)),INDEX('Исходные кривые'!$B$9:$N$9,1,MATCH(G18,'Исходные кривые'!$B$8:$N$8,1))+(G18-INDEX('Исходные кривые'!$B$8:$N$8,1,MATCH(G18,'Исходные кривые'!$B$8:$N$8,1)))*(INDEX('Исходные кривые'!$B$9:$N$9,1,MATCH(G18,'Исходные кривые'!$B$8:$N$8,1)+1)-INDEX('Исходные кривые'!$B$9:$N$9,1,MATCH(G18,'Исходные кривые'!$B$8:$N$8,1)))/(INDEX('Исходные кривые'!$B$8:$N$8,1,MATCH(G18,'Исходные кривые'!$B$8:$N$8,1)+1)-INDEX('Исходные кривые'!$B$8:$N$8,1,MATCH(G18,'Исходные кривые'!$B$8:$N$8,1)))))</x:f>
        <x:v>16.592328767123288</x:v>
      </x:c>
      <x:c r="J18" s="165" t="n">
        <x:f>IF(G18&lt;=MIN('Исходные кривые'!$B$12:$K$12),INDEX('Исходные кривые'!$B$13:$K$13,1,1),IF(G18&gt;=MAX('Исходные кривые'!$B$12:$K$12),INDEX('Исходные кривые'!$B$13:$K$13,1,COLUMNS('Исходные кривые'!$B$13:$K$13)),INDEX('Исходные кривые'!$B$13:$K$13,1,MATCH(G18,'Исходные кривые'!$B$12:$K$12,1))+(G18-INDEX('Исходные кривые'!$B$12:$K$12,1,MATCH(G18,'Исходные кривые'!$B$12:$K$12,1)))*(INDEX('Исходные кривые'!$B$13:$K$13,1,MATCH(G18,'Исходные кривые'!$B$12:$K$12,1)+1)-INDEX('Исходные кривые'!$B$13:$K$13,1,MATCH(G18,'Исходные кривые'!$B$12:$K$12,1)))/(INDEX('Исходные кривые'!$B$12:$K$12,1,MATCH(G18,'Исходные кривые'!$B$12:$K$12,1)+1)-INDEX('Исходные кривые'!$B$12:$K$12,1,MATCH(G18,'Исходные кривые'!$B$12:$K$12,1)))))</x:f>
        <x:v>53.227397260273975</x:v>
      </x:c>
      <x:c r="K18" s="165" t="n">
        <x:f>IF(G18&lt;=MIN('Исходные кривые'!$B$12:$K$12),INDEX('Исходные кривые'!$B$14:$K$14,1,1),IF(G18&gt;=MAX('Исходные кривые'!$B$12:$K$12),INDEX('Исходные кривые'!$B$14:$K$14,1,COLUMNS('Исходные кривые'!$B$14:$K$14)),INDEX('Исходные кривые'!$B$14:$K$14,1,MATCH(G18,'Исходные кривые'!$B$12:$K$12,1))+(G18-INDEX('Исходные кривые'!$B$12:$K$12,1,MATCH(G18,'Исходные кривые'!$B$12:$K$12,1)))*(INDEX('Исходные кривые'!$B$14:$K$14,1,MATCH(G18,'Исходные кривые'!$B$12:$K$12,1)+1)-INDEX('Исходные кривые'!$B$14:$K$14,1,MATCH(G18,'Исходные кривые'!$B$12:$K$12,1)))/(INDEX('Исходные кривые'!$B$12:$K$12,1,MATCH(G18,'Исходные кривые'!$B$12:$K$12,1)+1)-INDEX('Исходные кривые'!$B$12:$K$12,1,MATCH(G18,'Исходные кривые'!$B$12:$K$12,1)))))</x:f>
        <x:v>-27.87123287671233</x:v>
      </x:c>
      <x:c r="L18" s="165" t="n">
        <x:f>IF(G18&lt;=MIN('Исходные кривые'!$B$17:$L$17),INDEX('Исходные кривые'!$B$18:$L$18,1,1),IF(G18&gt;=MAX('Исходные кривые'!$B$17:$L$17),INDEX('Исходные кривые'!$B$18:$L$18,1,COLUMNS('Исходные кривые'!$B$18:$L$18)),INDEX('Исходные кривые'!$B$18:$L$18,1,MATCH(G18,'Исходные кривые'!$B$17:$L$17,1))+(G18-INDEX('Исходные кривые'!$B$17:$L$17,1,MATCH(G18,'Исходные кривые'!$B$17:$L$17,1)))*(INDEX('Исходные кривые'!$B$18:$L$18,1,MATCH(G18,'Исходные кривые'!$B$17:$L$17,1)+1)-INDEX('Исходные кривые'!$B$18:$L$18,1,MATCH(G18,'Исходные кривые'!$B$17:$L$17,1)))/(INDEX('Исходные кривые'!$B$17:$L$17,1,MATCH(G18,'Исходные кривые'!$B$17:$L$17,1)+1)-INDEX('Исходные кривые'!$B$17:$L$17,1,MATCH(G18,'Исходные кривые'!$B$17:$L$17,1)))))</x:f>
        <x:v>6.335616438356165</x:v>
      </x:c>
      <x:c r="M18" s="165" t="n">
        <x:f>IF(G18&lt;=MIN('Исходные кривые'!$B$17:$L$17),INDEX('Исходные кривые'!$B$19:$L$19,1,1),IF(G18&gt;=MAX('Исходные кривые'!$B$17:$L$17),INDEX('Исходные кривые'!$B$19:$L$19,1,COLUMNS('Исходные кривые'!$B$19:$L$19)),INDEX('Исходные кривые'!$B$19:$L$19,1,MATCH(G18,'Исходные кривые'!$B$17:$L$17,1))+(G18-INDEX('Исходные кривые'!$B$17:$L$17,1,MATCH(G18,'Исходные кривые'!$B$17:$L$17,1)))*(INDEX('Исходные кривые'!$B$19:$L$19,1,MATCH(G18,'Исходные кривые'!$B$17:$L$17,1)+1)-INDEX('Исходные кривые'!$B$19:$L$19,1,MATCH(G18,'Исходные кривые'!$B$17:$L$17,1)))/(INDEX('Исходные кривые'!$B$17:$L$17,1,MATCH(G18,'Исходные кривые'!$B$17:$L$17,1)+1)-INDEX('Исходные кривые'!$B$17:$L$17,1,MATCH(G18,'Исходные кривые'!$B$17:$L$17,1)))))</x:f>
        <x:v>-3.443972602739726</x:v>
      </x:c>
    </x:row>
    <x:row r="19">
      <x:c r="A19" s="124" t="str">
        <x:v>Своп 1</x:v>
      </x:c>
      <x:c r="B19" s="125" t="n">
        <x:v>46569</x:v>
      </x:c>
      <x:c r="C19" s="125" t="n">
        <x:v>48396</x:v>
      </x:c>
      <x:c r="D19" s="124" t="n">
        <x:v>10</x:v>
      </x:c>
      <x:c r="E19" s="125" t="n">
        <x:v>47484</x:v>
      </x:c>
      <x:c r="F19" s="164" t="n">
        <x:f>E19-'Настройки'!$B$4</x:f>
        <x:v>1281</x:v>
      </x:c>
      <x:c r="G19" s="165" t="n">
        <x:f>F19/'Настройки'!$B$5</x:f>
        <x:v>3.5095890410958903</x:v>
      </x:c>
      <x:c r="H19" s="165" t="n">
        <x:f>IF(G19&lt;=MIN('Исходные кривые'!$B$4:$L$4),INDEX('Исходные кривые'!$B$5:$L$5,1,1),IF(G19&gt;=MAX('Исходные кривые'!$B$4:$L$4),INDEX('Исходные кривые'!$B$5:$L$5,1,COLUMNS('Исходные кривые'!$B$5:$L$5)),INDEX('Исходные кривые'!$B$5:$L$5,1,MATCH(G19,'Исходные кривые'!$B$4:$L$4,1))+(G19-INDEX('Исходные кривые'!$B$4:$L$4,1,MATCH(G19,'Исходные кривые'!$B$4:$L$4,1)))*(INDEX('Исходные кривые'!$B$5:$L$5,1,MATCH(G19,'Исходные кривые'!$B$4:$L$4,1)+1)-INDEX('Исходные кривые'!$B$5:$L$5,1,MATCH(G19,'Исходные кривые'!$B$4:$L$4,1)))/(INDEX('Исходные кривые'!$B$4:$L$4,1,MATCH(G19,'Исходные кривые'!$B$4:$L$4,1)+1)-INDEX('Исходные кривые'!$B$4:$L$4,1,MATCH(G19,'Исходные кривые'!$B$4:$L$4,1)))))</x:f>
        <x:v>14.712054794520549</x:v>
      </x:c>
      <x:c r="I19" s="165" t="n">
        <x:f>IF(G19&lt;=MIN('Исходные кривые'!$B$8:$N$8),INDEX('Исходные кривые'!$B$9:$N$9,1,1),IF(G19&gt;=MAX('Исходные кривые'!$B$8:$N$8),INDEX('Исходные кривые'!$B$9:$N$9,1,COLUMNS('Исходные кривые'!$B$9:$N$9)),INDEX('Исходные кривые'!$B$9:$N$9,1,MATCH(G19,'Исходные кривые'!$B$8:$N$8,1))+(G19-INDEX('Исходные кривые'!$B$8:$N$8,1,MATCH(G19,'Исходные кривые'!$B$8:$N$8,1)))*(INDEX('Исходные кривые'!$B$9:$N$9,1,MATCH(G19,'Исходные кривые'!$B$8:$N$8,1)+1)-INDEX('Исходные кривые'!$B$9:$N$9,1,MATCH(G19,'Исходные кривые'!$B$8:$N$8,1)))/(INDEX('Исходные кривые'!$B$8:$N$8,1,MATCH(G19,'Исходные кривые'!$B$8:$N$8,1)+1)-INDEX('Исходные кривые'!$B$8:$N$8,1,MATCH(G19,'Исходные кривые'!$B$8:$N$8,1)))))</x:f>
        <x:v>16.712054794520547</x:v>
      </x:c>
      <x:c r="J19" s="165" t="n">
        <x:f>IF(G19&lt;=MIN('Исходные кривые'!$B$12:$K$12),INDEX('Исходные кривые'!$B$13:$K$13,1,1),IF(G19&gt;=MAX('Исходные кривые'!$B$12:$K$12),INDEX('Исходные кривые'!$B$13:$K$13,1,COLUMNS('Исходные кривые'!$B$13:$K$13)),INDEX('Исходные кривые'!$B$13:$K$13,1,MATCH(G19,'Исходные кривые'!$B$12:$K$12,1))+(G19-INDEX('Исходные кривые'!$B$12:$K$12,1,MATCH(G19,'Исходные кривые'!$B$12:$K$12,1)))*(INDEX('Исходные кривые'!$B$13:$K$13,1,MATCH(G19,'Исходные кривые'!$B$12:$K$12,1)+1)-INDEX('Исходные кривые'!$B$13:$K$13,1,MATCH(G19,'Исходные кривые'!$B$12:$K$12,1)))/(INDEX('Исходные кривые'!$B$12:$K$12,1,MATCH(G19,'Исходные кривые'!$B$12:$K$12,1)+1)-INDEX('Исходные кривые'!$B$12:$K$12,1,MATCH(G19,'Исходные кривые'!$B$12:$K$12,1)))))</x:f>
        <x:v>52.47123287671233</x:v>
      </x:c>
      <x:c r="K19" s="165" t="n">
        <x:f>IF(G19&lt;=MIN('Исходные кривые'!$B$12:$K$12),INDEX('Исходные кривые'!$B$14:$K$14,1,1),IF(G19&gt;=MAX('Исходные кривые'!$B$12:$K$12),INDEX('Исходные кривые'!$B$14:$K$14,1,COLUMNS('Исходные кривые'!$B$14:$K$14)),INDEX('Исходные кривые'!$B$14:$K$14,1,MATCH(G19,'Исходные кривые'!$B$12:$K$12,1))+(G19-INDEX('Исходные кривые'!$B$12:$K$12,1,MATCH(G19,'Исходные кривые'!$B$12:$K$12,1)))*(INDEX('Исходные кривые'!$B$14:$K$14,1,MATCH(G19,'Исходные кривые'!$B$12:$K$12,1)+1)-INDEX('Исходные кривые'!$B$14:$K$14,1,MATCH(G19,'Исходные кривые'!$B$12:$K$12,1)))/(INDEX('Исходные кривые'!$B$12:$K$12,1,MATCH(G19,'Исходные кривые'!$B$12:$K$12,1)+1)-INDEX('Исходные кривые'!$B$12:$K$12,1,MATCH(G19,'Исходные кривые'!$B$12:$K$12,1)))))</x:f>
        <x:v>-27.745205479452054</x:v>
      </x:c>
      <x:c r="L19" s="165" t="n">
        <x:f>IF(G19&lt;=MIN('Исходные кривые'!$B$17:$L$17),INDEX('Исходные кривые'!$B$18:$L$18,1,1),IF(G19&gt;=MAX('Исходные кривые'!$B$17:$L$17),INDEX('Исходные кривые'!$B$18:$L$18,1,COLUMNS('Исходные кривые'!$B$18:$L$18)),INDEX('Исходные кривые'!$B$18:$L$18,1,MATCH(G19,'Исходные кривые'!$B$17:$L$17,1))+(G19-INDEX('Исходные кривые'!$B$17:$L$17,1,MATCH(G19,'Исходные кривые'!$B$17:$L$17,1)))*(INDEX('Исходные кривые'!$B$18:$L$18,1,MATCH(G19,'Исходные кривые'!$B$17:$L$17,1)+1)-INDEX('Исходные кривые'!$B$18:$L$18,1,MATCH(G19,'Исходные кривые'!$B$17:$L$17,1)))/(INDEX('Исходные кривые'!$B$17:$L$17,1,MATCH(G19,'Исходные кривые'!$B$17:$L$17,1)+1)-INDEX('Исходные кривые'!$B$17:$L$17,1,MATCH(G19,'Исходные кривые'!$B$17:$L$17,1)))))</x:f>
        <x:v>6.272602739726028</x:v>
      </x:c>
      <x:c r="M19" s="165" t="n">
        <x:f>IF(G19&lt;=MIN('Исходные кривые'!$B$17:$L$17),INDEX('Исходные кривые'!$B$19:$L$19,1,1),IF(G19&gt;=MAX('Исходные кривые'!$B$17:$L$17),INDEX('Исходные кривые'!$B$19:$L$19,1,COLUMNS('Исходные кривые'!$B$19:$L$19)),INDEX('Исходные кривые'!$B$19:$L$19,1,MATCH(G19,'Исходные кривые'!$B$17:$L$17,1))+(G19-INDEX('Исходные кривые'!$B$17:$L$17,1,MATCH(G19,'Исходные кривые'!$B$17:$L$17,1)))*(INDEX('Исходные кривые'!$B$19:$L$19,1,MATCH(G19,'Исходные кривые'!$B$17:$L$17,1)+1)-INDEX('Исходные кривые'!$B$19:$L$19,1,MATCH(G19,'Исходные кривые'!$B$17:$L$17,1)))/(INDEX('Исходные кривые'!$B$17:$L$17,1,MATCH(G19,'Исходные кривые'!$B$17:$L$17,1)+1)-INDEX('Исходные кривые'!$B$17:$L$17,1,MATCH(G19,'Исходные кривые'!$B$17:$L$17,1)))))</x:f>
        <x:v>-3.2423287671232877</x:v>
      </x:c>
    </x:row>
    <x:row r="20">
      <x:c r="A20" s="124" t="str">
        <x:v>Своп 1</x:v>
      </x:c>
      <x:c r="B20" s="125" t="n">
        <x:v>46569</x:v>
      </x:c>
      <x:c r="C20" s="125" t="n">
        <x:v>48396</x:v>
      </x:c>
      <x:c r="D20" s="124" t="n">
        <x:v>11</x:v>
      </x:c>
      <x:c r="E20" s="125" t="n">
        <x:v>47574</x:v>
      </x:c>
      <x:c r="F20" s="164" t="n">
        <x:f>E20-'Настройки'!$B$4</x:f>
        <x:v>1371</x:v>
      </x:c>
      <x:c r="G20" s="165" t="n">
        <x:f>F20/'Настройки'!$B$5</x:f>
        <x:v>3.756164383561644</x:v>
      </x:c>
      <x:c r="H20" s="165" t="n">
        <x:f>IF(G20&lt;=MIN('Исходные кривые'!$B$4:$L$4),INDEX('Исходные кривые'!$B$5:$L$5,1,1),IF(G20&gt;=MAX('Исходные кривые'!$B$4:$L$4),INDEX('Исходные кривые'!$B$5:$L$5,1,COLUMNS('Исходные кривые'!$B$5:$L$5)),INDEX('Исходные кривые'!$B$5:$L$5,1,MATCH(G20,'Исходные кривые'!$B$4:$L$4,1))+(G20-INDEX('Исходные кривые'!$B$4:$L$4,1,MATCH(G20,'Исходные кривые'!$B$4:$L$4,1)))*(INDEX('Исходные кривые'!$B$5:$L$5,1,MATCH(G20,'Исходные кривые'!$B$4:$L$4,1)+1)-INDEX('Исходные кривые'!$B$5:$L$5,1,MATCH(G20,'Исходные кривые'!$B$4:$L$4,1)))/(INDEX('Исходные кривые'!$B$4:$L$4,1,MATCH(G20,'Исходные кривые'!$B$4:$L$4,1)+1)-INDEX('Исходные кривые'!$B$4:$L$4,1,MATCH(G20,'Исходные кривые'!$B$4:$L$4,1)))))</x:f>
        <x:v>14.829178082191781</x:v>
      </x:c>
      <x:c r="I20" s="165" t="n">
        <x:f>IF(G20&lt;=MIN('Исходные кривые'!$B$8:$N$8),INDEX('Исходные кривые'!$B$9:$N$9,1,1),IF(G20&gt;=MAX('Исходные кривые'!$B$8:$N$8),INDEX('Исходные кривые'!$B$9:$N$9,1,COLUMNS('Исходные кривые'!$B$9:$N$9)),INDEX('Исходные кривые'!$B$9:$N$9,1,MATCH(G20,'Исходные кривые'!$B$8:$N$8,1))+(G20-INDEX('Исходные кривые'!$B$8:$N$8,1,MATCH(G20,'Исходные кривые'!$B$8:$N$8,1)))*(INDEX('Исходные кривые'!$B$9:$N$9,1,MATCH(G20,'Исходные кривые'!$B$8:$N$8,1)+1)-INDEX('Исходные кривые'!$B$9:$N$9,1,MATCH(G20,'Исходные кривые'!$B$8:$N$8,1)))/(INDEX('Исходные кривые'!$B$8:$N$8,1,MATCH(G20,'Исходные кривые'!$B$8:$N$8,1)+1)-INDEX('Исходные кривые'!$B$8:$N$8,1,MATCH(G20,'Исходные кривые'!$B$8:$N$8,1)))))</x:f>
        <x:v>16.82917808219178</x:v>
      </x:c>
      <x:c r="J20" s="165" t="n">
        <x:f>IF(G20&lt;=MIN('Исходные кривые'!$B$12:$K$12),INDEX('Исходные кривые'!$B$13:$K$13,1,1),IF(G20&gt;=MAX('Исходные кривые'!$B$12:$K$12),INDEX('Исходные кривые'!$B$13:$K$13,1,COLUMNS('Исходные кривые'!$B$13:$K$13)),INDEX('Исходные кривые'!$B$13:$K$13,1,MATCH(G20,'Исходные кривые'!$B$12:$K$12,1))+(G20-INDEX('Исходные кривые'!$B$12:$K$12,1,MATCH(G20,'Исходные кривые'!$B$12:$K$12,1)))*(INDEX('Исходные кривые'!$B$13:$K$13,1,MATCH(G20,'Исходные кривые'!$B$12:$K$12,1)+1)-INDEX('Исходные кривые'!$B$13:$K$13,1,MATCH(G20,'Исходные кривые'!$B$12:$K$12,1)))/(INDEX('Исходные кривые'!$B$12:$K$12,1,MATCH(G20,'Исходные кривые'!$B$12:$K$12,1)+1)-INDEX('Исходные кривые'!$B$12:$K$12,1,MATCH(G20,'Исходные кривые'!$B$12:$K$12,1)))))</x:f>
        <x:v>51.73150684931507</x:v>
      </x:c>
      <x:c r="K20" s="165" t="n">
        <x:f>IF(G20&lt;=MIN('Исходные кривые'!$B$12:$K$12),INDEX('Исходные кривые'!$B$14:$K$14,1,1),IF(G20&gt;=MAX('Исходные кривые'!$B$12:$K$12),INDEX('Исходные кривые'!$B$14:$K$14,1,COLUMNS('Исходные кривые'!$B$14:$K$14)),INDEX('Исходные кривые'!$B$14:$K$14,1,MATCH(G20,'Исходные кривые'!$B$12:$K$12,1))+(G20-INDEX('Исходные кривые'!$B$12:$K$12,1,MATCH(G20,'Исходные кривые'!$B$12:$K$12,1)))*(INDEX('Исходные кривые'!$B$14:$K$14,1,MATCH(G20,'Исходные кривые'!$B$12:$K$12,1)+1)-INDEX('Исходные кривые'!$B$14:$K$14,1,MATCH(G20,'Исходные кривые'!$B$12:$K$12,1)))/(INDEX('Исходные кривые'!$B$12:$K$12,1,MATCH(G20,'Исходные кривые'!$B$12:$K$12,1)+1)-INDEX('Исходные кривые'!$B$12:$K$12,1,MATCH(G20,'Исходные кривые'!$B$12:$K$12,1)))))</x:f>
        <x:v>-27.621917808219177</x:v>
      </x:c>
      <x:c r="L20" s="165" t="n">
        <x:f>IF(G20&lt;=MIN('Исходные кривые'!$B$17:$L$17),INDEX('Исходные кривые'!$B$18:$L$18,1,1),IF(G20&gt;=MAX('Исходные кривые'!$B$17:$L$17),INDEX('Исходные кривые'!$B$18:$L$18,1,COLUMNS('Исходные кривые'!$B$18:$L$18)),INDEX('Исходные кривые'!$B$18:$L$18,1,MATCH(G20,'Исходные кривые'!$B$17:$L$17,1))+(G20-INDEX('Исходные кривые'!$B$17:$L$17,1,MATCH(G20,'Исходные кривые'!$B$17:$L$17,1)))*(INDEX('Исходные кривые'!$B$18:$L$18,1,MATCH(G20,'Исходные кривые'!$B$17:$L$17,1)+1)-INDEX('Исходные кривые'!$B$18:$L$18,1,MATCH(G20,'Исходные кривые'!$B$17:$L$17,1)))/(INDEX('Исходные кривые'!$B$17:$L$17,1,MATCH(G20,'Исходные кривые'!$B$17:$L$17,1)+1)-INDEX('Исходные кривые'!$B$17:$L$17,1,MATCH(G20,'Исходные кривые'!$B$17:$L$17,1)))))</x:f>
        <x:v>6.21095890410959</x:v>
      </x:c>
      <x:c r="M20" s="165" t="n">
        <x:f>IF(G20&lt;=MIN('Исходные кривые'!$B$17:$L$17),INDEX('Исходные кривые'!$B$19:$L$19,1,1),IF(G20&gt;=MAX('Исходные кривые'!$B$17:$L$17),INDEX('Исходные кривые'!$B$19:$L$19,1,COLUMNS('Исходные кривые'!$B$19:$L$19)),INDEX('Исходные кривые'!$B$19:$L$19,1,MATCH(G20,'Исходные кривые'!$B$17:$L$17,1))+(G20-INDEX('Исходные кривые'!$B$17:$L$17,1,MATCH(G20,'Исходные кривые'!$B$17:$L$17,1)))*(INDEX('Исходные кривые'!$B$19:$L$19,1,MATCH(G20,'Исходные кривые'!$B$17:$L$17,1)+1)-INDEX('Исходные кривые'!$B$19:$L$19,1,MATCH(G20,'Исходные кривые'!$B$17:$L$17,1)))/(INDEX('Исходные кривые'!$B$17:$L$17,1,MATCH(G20,'Исходные кривые'!$B$17:$L$17,1)+1)-INDEX('Исходные кривые'!$B$17:$L$17,1,MATCH(G20,'Исходные кривые'!$B$17:$L$17,1)))))</x:f>
        <x:v>-3.045068493150685</x:v>
      </x:c>
    </x:row>
    <x:row r="21">
      <x:c r="A21" s="124" t="str">
        <x:v>Своп 1</x:v>
      </x:c>
      <x:c r="B21" s="125" t="n">
        <x:v>46569</x:v>
      </x:c>
      <x:c r="C21" s="125" t="n">
        <x:v>48396</x:v>
      </x:c>
      <x:c r="D21" s="124" t="n">
        <x:v>12</x:v>
      </x:c>
      <x:c r="E21" s="125" t="n">
        <x:v>47665</x:v>
      </x:c>
      <x:c r="F21" s="164" t="n">
        <x:f>E21-'Настройки'!$B$4</x:f>
        <x:v>1462</x:v>
      </x:c>
      <x:c r="G21" s="165" t="n">
        <x:f>F21/'Настройки'!$B$5</x:f>
        <x:v>4.005479452054795</x:v>
      </x:c>
      <x:c r="H21" s="165" t="n">
        <x:f>IF(G21&lt;=MIN('Исходные кривые'!$B$4:$L$4),INDEX('Исходные кривые'!$B$5:$L$5,1,1),IF(G21&gt;=MAX('Исходные кривые'!$B$4:$L$4),INDEX('Исходные кривые'!$B$5:$L$5,1,COLUMNS('Исходные кривые'!$B$5:$L$5)),INDEX('Исходные кривые'!$B$5:$L$5,1,MATCH(G21,'Исходные кривые'!$B$4:$L$4,1))+(G21-INDEX('Исходные кривые'!$B$4:$L$4,1,MATCH(G21,'Исходные кривые'!$B$4:$L$4,1)))*(INDEX('Исходные кривые'!$B$5:$L$5,1,MATCH(G21,'Исходные кривые'!$B$4:$L$4,1)+1)-INDEX('Исходные кривые'!$B$5:$L$5,1,MATCH(G21,'Исходные кривые'!$B$4:$L$4,1)))/(INDEX('Исходные кривые'!$B$4:$L$4,1,MATCH(G21,'Исходные кривые'!$B$4:$L$4,1)+1)-INDEX('Исходные кривые'!$B$4:$L$4,1,MATCH(G21,'Исходные кривые'!$B$4:$L$4,1)))))</x:f>
        <x:v>14.947602739726028</x:v>
      </x:c>
      <x:c r="I21" s="165" t="n">
        <x:f>IF(G21&lt;=MIN('Исходные кривые'!$B$8:$N$8),INDEX('Исходные кривые'!$B$9:$N$9,1,1),IF(G21&gt;=MAX('Исходные кривые'!$B$8:$N$8),INDEX('Исходные кривые'!$B$9:$N$9,1,COLUMNS('Исходные кривые'!$B$9:$N$9)),INDEX('Исходные кривые'!$B$9:$N$9,1,MATCH(G21,'Исходные кривые'!$B$8:$N$8,1))+(G21-INDEX('Исходные кривые'!$B$8:$N$8,1,MATCH(G21,'Исходные кривые'!$B$8:$N$8,1)))*(INDEX('Исходные кривые'!$B$9:$N$9,1,MATCH(G21,'Исходные кривые'!$B$8:$N$8,1)+1)-INDEX('Исходные кривые'!$B$9:$N$9,1,MATCH(G21,'Исходные кривые'!$B$8:$N$8,1)))/(INDEX('Исходные кривые'!$B$8:$N$8,1,MATCH(G21,'Исходные кривые'!$B$8:$N$8,1)+1)-INDEX('Исходные кривые'!$B$8:$N$8,1,MATCH(G21,'Исходные кривые'!$B$8:$N$8,1)))))</x:f>
        <x:v>16.947602739726026</x:v>
      </x:c>
      <x:c r="J21" s="165" t="n">
        <x:f>IF(G21&lt;=MIN('Исходные кривые'!$B$12:$K$12),INDEX('Исходные кривые'!$B$13:$K$13,1,1),IF(G21&gt;=MAX('Исходные кривые'!$B$12:$K$12),INDEX('Исходные кривые'!$B$13:$K$13,1,COLUMNS('Исходные кривые'!$B$13:$K$13)),INDEX('Исходные кривые'!$B$13:$K$13,1,MATCH(G21,'Исходные кривые'!$B$12:$K$12,1))+(G21-INDEX('Исходные кривые'!$B$12:$K$12,1,MATCH(G21,'Исходные кривые'!$B$12:$K$12,1)))*(INDEX('Исходные кривые'!$B$13:$K$13,1,MATCH(G21,'Исходные кривые'!$B$12:$K$12,1)+1)-INDEX('Исходные кривые'!$B$13:$K$13,1,MATCH(G21,'Исходные кривые'!$B$12:$K$12,1)))/(INDEX('Исходные кривые'!$B$12:$K$12,1,MATCH(G21,'Исходные кривые'!$B$12:$K$12,1)+1)-INDEX('Исходные кривые'!$B$12:$K$12,1,MATCH(G21,'Исходные кривые'!$B$12:$K$12,1)))))</x:f>
        <x:v>50.983561643835614</x:v>
      </x:c>
      <x:c r="K21" s="165" t="n">
        <x:f>IF(G21&lt;=MIN('Исходные кривые'!$B$12:$K$12),INDEX('Исходные кривые'!$B$14:$K$14,1,1),IF(G21&gt;=MAX('Исходные кривые'!$B$12:$K$12),INDEX('Исходные кривые'!$B$14:$K$14,1,COLUMNS('Исходные кривые'!$B$14:$K$14)),INDEX('Исходные кривые'!$B$14:$K$14,1,MATCH(G21,'Исходные кривые'!$B$12:$K$12,1))+(G21-INDEX('Исходные кривые'!$B$12:$K$12,1,MATCH(G21,'Исходные кривые'!$B$12:$K$12,1)))*(INDEX('Исходные кривые'!$B$14:$K$14,1,MATCH(G21,'Исходные кривые'!$B$12:$K$12,1)+1)-INDEX('Исходные кривые'!$B$14:$K$14,1,MATCH(G21,'Исходные кривые'!$B$12:$K$12,1)))/(INDEX('Исходные кривые'!$B$12:$K$12,1,MATCH(G21,'Исходные кривые'!$B$12:$K$12,1)+1)-INDEX('Исходные кривые'!$B$12:$K$12,1,MATCH(G21,'Исходные кривые'!$B$12:$K$12,1)))))</x:f>
        <x:v>-27.497260273972604</x:v>
      </x:c>
      <x:c r="L21" s="165" t="n">
        <x:f>IF(G21&lt;=MIN('Исходные кривые'!$B$17:$L$17),INDEX('Исходные кривые'!$B$18:$L$18,1,1),IF(G21&gt;=MAX('Исходные кривые'!$B$17:$L$17),INDEX('Исходные кривые'!$B$18:$L$18,1,COLUMNS('Исходные кривые'!$B$18:$L$18)),INDEX('Исходные кривые'!$B$18:$L$18,1,MATCH(G21,'Исходные кривые'!$B$17:$L$17,1))+(G21-INDEX('Исходные кривые'!$B$17:$L$17,1,MATCH(G21,'Исходные кривые'!$B$17:$L$17,1)))*(INDEX('Исходные кривые'!$B$18:$L$18,1,MATCH(G21,'Исходные кривые'!$B$17:$L$17,1)+1)-INDEX('Исходные кривые'!$B$18:$L$18,1,MATCH(G21,'Исходные кривые'!$B$17:$L$17,1)))/(INDEX('Исходные кривые'!$B$17:$L$17,1,MATCH(G21,'Исходные кривые'!$B$17:$L$17,1)+1)-INDEX('Исходные кривые'!$B$17:$L$17,1,MATCH(G21,'Исходные кривые'!$B$17:$L$17,1)))))</x:f>
        <x:v>6.145890410958904</x:v>
      </x:c>
      <x:c r="M21" s="165" t="n">
        <x:f>IF(G21&lt;=MIN('Исходные кривые'!$B$17:$L$17),INDEX('Исходные кривые'!$B$19:$L$19,1,1),IF(G21&gt;=MAX('Исходные кривые'!$B$17:$L$17),INDEX('Исходные кривые'!$B$19:$L$19,1,COLUMNS('Исходные кривые'!$B$19:$L$19)),INDEX('Исходные кривые'!$B$19:$L$19,1,MATCH(G21,'Исходные кривые'!$B$17:$L$17,1))+(G21-INDEX('Исходные кривые'!$B$17:$L$17,1,MATCH(G21,'Исходные кривые'!$B$17:$L$17,1)))*(INDEX('Исходные кривые'!$B$19:$L$19,1,MATCH(G21,'Исходные кривые'!$B$17:$L$17,1)+1)-INDEX('Исходные кривые'!$B$19:$L$19,1,MATCH(G21,'Исходные кривые'!$B$17:$L$17,1)))/(INDEX('Исходные кривые'!$B$17:$L$17,1,MATCH(G21,'Исходные кривые'!$B$17:$L$17,1)+1)-INDEX('Исходные кривые'!$B$17:$L$17,1,MATCH(G21,'Исходные кривые'!$B$17:$L$17,1)))))</x:f>
        <x:v>-2.844794520547945</x:v>
      </x:c>
    </x:row>
    <x:row r="22">
      <x:c r="A22" s="124" t="str">
        <x:v>Своп 1</x:v>
      </x:c>
      <x:c r="B22" s="125" t="n">
        <x:v>46569</x:v>
      </x:c>
      <x:c r="C22" s="125" t="n">
        <x:v>48396</x:v>
      </x:c>
      <x:c r="D22" s="124" t="n">
        <x:v>13</x:v>
      </x:c>
      <x:c r="E22" s="125" t="n">
        <x:v>47757</x:v>
      </x:c>
      <x:c r="F22" s="164" t="n">
        <x:f>E22-'Настройки'!$B$4</x:f>
        <x:v>1554</x:v>
      </x:c>
      <x:c r="G22" s="165" t="n">
        <x:f>F22/'Настройки'!$B$5</x:f>
        <x:v>4.257534246575342</x:v>
      </x:c>
      <x:c r="H22" s="165" t="n">
        <x:f>IF(G22&lt;=MIN('Исходные кривые'!$B$4:$L$4),INDEX('Исходные кривые'!$B$5:$L$5,1,1),IF(G22&gt;=MAX('Исходные кривые'!$B$4:$L$4),INDEX('Исходные кривые'!$B$5:$L$5,1,COLUMNS('Исходные кривые'!$B$5:$L$5)),INDEX('Исходные кривые'!$B$5:$L$5,1,MATCH(G22,'Исходные кривые'!$B$4:$L$4,1))+(G22-INDEX('Исходные кривые'!$B$4:$L$4,1,MATCH(G22,'Исходные кривые'!$B$4:$L$4,1)))*(INDEX('Исходные кривые'!$B$5:$L$5,1,MATCH(G22,'Исходные кривые'!$B$4:$L$4,1)+1)-INDEX('Исходные кривые'!$B$5:$L$5,1,MATCH(G22,'Исходные кривые'!$B$4:$L$4,1)))/(INDEX('Исходные кривые'!$B$4:$L$4,1,MATCH(G22,'Исходные кривые'!$B$4:$L$4,1)+1)-INDEX('Исходные кривые'!$B$4:$L$4,1,MATCH(G22,'Исходные кривые'!$B$4:$L$4,1)))))</x:f>
        <x:v>15.067328767123287</x:v>
      </x:c>
      <x:c r="I22" s="165" t="n">
        <x:f>IF(G22&lt;=MIN('Исходные кривые'!$B$8:$N$8),INDEX('Исходные кривые'!$B$9:$N$9,1,1),IF(G22&gt;=MAX('Исходные кривые'!$B$8:$N$8),INDEX('Исходные кривые'!$B$9:$N$9,1,COLUMNS('Исходные кривые'!$B$9:$N$9)),INDEX('Исходные кривые'!$B$9:$N$9,1,MATCH(G22,'Исходные кривые'!$B$8:$N$8,1))+(G22-INDEX('Исходные кривые'!$B$8:$N$8,1,MATCH(G22,'Исходные кривые'!$B$8:$N$8,1)))*(INDEX('Исходные кривые'!$B$9:$N$9,1,MATCH(G22,'Исходные кривые'!$B$8:$N$8,1)+1)-INDEX('Исходные кривые'!$B$9:$N$9,1,MATCH(G22,'Исходные кривые'!$B$8:$N$8,1)))/(INDEX('Исходные кривые'!$B$8:$N$8,1,MATCH(G22,'Исходные кривые'!$B$8:$N$8,1)+1)-INDEX('Исходные кривые'!$B$8:$N$8,1,MATCH(G22,'Исходные кривые'!$B$8:$N$8,1)))))</x:f>
        <x:v>17.06732876712329</x:v>
      </x:c>
      <x:c r="J22" s="165" t="n">
        <x:f>IF(G22&lt;=MIN('Исходные кривые'!$B$12:$K$12),INDEX('Исходные кривые'!$B$13:$K$13,1,1),IF(G22&gt;=MAX('Исходные кривые'!$B$12:$K$12),INDEX('Исходные кривые'!$B$13:$K$13,1,COLUMNS('Исходные кривые'!$B$13:$K$13)),INDEX('Исходные кривые'!$B$13:$K$13,1,MATCH(G22,'Исходные кривые'!$B$12:$K$12,1))+(G22-INDEX('Исходные кривые'!$B$12:$K$12,1,MATCH(G22,'Исходные кривые'!$B$12:$K$12,1)))*(INDEX('Исходные кривые'!$B$13:$K$13,1,MATCH(G22,'Исходные кривые'!$B$12:$K$12,1)+1)-INDEX('Исходные кривые'!$B$13:$K$13,1,MATCH(G22,'Исходные кривые'!$B$12:$K$12,1)))/(INDEX('Исходные кривые'!$B$12:$K$12,1,MATCH(G22,'Исходные кривые'!$B$12:$K$12,1)+1)-INDEX('Исходные кривые'!$B$12:$K$12,1,MATCH(G22,'Исходные кривые'!$B$12:$K$12,1)))))</x:f>
        <x:v>50.227397260273975</x:v>
      </x:c>
      <x:c r="K22" s="165" t="n">
        <x:f>IF(G22&lt;=MIN('Исходные кривые'!$B$12:$K$12),INDEX('Исходные кривые'!$B$14:$K$14,1,1),IF(G22&gt;=MAX('Исходные кривые'!$B$12:$K$12),INDEX('Исходные кривые'!$B$14:$K$14,1,COLUMNS('Исходные кривые'!$B$14:$K$14)),INDEX('Исходные кривые'!$B$14:$K$14,1,MATCH(G22,'Исходные кривые'!$B$12:$K$12,1))+(G22-INDEX('Исходные кривые'!$B$12:$K$12,1,MATCH(G22,'Исходные кривые'!$B$12:$K$12,1)))*(INDEX('Исходные кривые'!$B$14:$K$14,1,MATCH(G22,'Исходные кривые'!$B$12:$K$12,1)+1)-INDEX('Исходные кривые'!$B$14:$K$14,1,MATCH(G22,'Исходные кривые'!$B$12:$K$12,1)))/(INDEX('Исходные кривые'!$B$12:$K$12,1,MATCH(G22,'Исходные кривые'!$B$12:$K$12,1)+1)-INDEX('Исходные кривые'!$B$12:$K$12,1,MATCH(G22,'Исходные кривые'!$B$12:$K$12,1)))))</x:f>
        <x:v>-27.37123287671233</x:v>
      </x:c>
      <x:c r="L22" s="165" t="n">
        <x:f>IF(G22&lt;=MIN('Исходные кривые'!$B$17:$L$17),INDEX('Исходные кривые'!$B$18:$L$18,1,1),IF(G22&gt;=MAX('Исходные кривые'!$B$17:$L$17),INDEX('Исходные кривые'!$B$18:$L$18,1,COLUMNS('Исходные кривые'!$B$18:$L$18)),INDEX('Исходные кривые'!$B$18:$L$18,1,MATCH(G22,'Исходные кривые'!$B$17:$L$17,1))+(G22-INDEX('Исходные кривые'!$B$17:$L$17,1,MATCH(G22,'Исходные кривые'!$B$17:$L$17,1)))*(INDEX('Исходные кривые'!$B$18:$L$18,1,MATCH(G22,'Исходные кривые'!$B$17:$L$17,1)+1)-INDEX('Исходные кривые'!$B$18:$L$18,1,MATCH(G22,'Исходные кривые'!$B$17:$L$17,1)))/(INDEX('Исходные кривые'!$B$17:$L$17,1,MATCH(G22,'Исходные кривые'!$B$17:$L$17,1)+1)-INDEX('Исходные кривые'!$B$17:$L$17,1,MATCH(G22,'Исходные кривые'!$B$17:$L$17,1)))))</x:f>
        <x:v>5.956849315068494</x:v>
      </x:c>
      <x:c r="M22" s="165" t="n">
        <x:f>IF(G22&lt;=MIN('Исходные кривые'!$B$17:$L$17),INDEX('Исходные кривые'!$B$19:$L$19,1,1),IF(G22&gt;=MAX('Исходные кривые'!$B$17:$L$17),INDEX('Исходные кривые'!$B$19:$L$19,1,COLUMNS('Исходные кривые'!$B$19:$L$19)),INDEX('Исходные кривые'!$B$19:$L$19,1,MATCH(G22,'Исходные кривые'!$B$17:$L$17,1))+(G22-INDEX('Исходные кривые'!$B$17:$L$17,1,MATCH(G22,'Исходные кривые'!$B$17:$L$17,1)))*(INDEX('Исходные кривые'!$B$19:$L$19,1,MATCH(G22,'Исходные кривые'!$B$17:$L$17,1)+1)-INDEX('Исходные кривые'!$B$19:$L$19,1,MATCH(G22,'Исходные кривые'!$B$17:$L$17,1)))/(INDEX('Исходные кривые'!$B$17:$L$17,1,MATCH(G22,'Исходные кривые'!$B$17:$L$17,1)+1)-INDEX('Исходные кривые'!$B$17:$L$17,1,MATCH(G22,'Исходные кривые'!$B$17:$L$17,1)))))</x:f>
        <x:v>-2.605342465753425</x:v>
      </x:c>
    </x:row>
    <x:row r="23">
      <x:c r="A23" s="124" t="str">
        <x:v>Своп 1</x:v>
      </x:c>
      <x:c r="B23" s="125" t="n">
        <x:v>46569</x:v>
      </x:c>
      <x:c r="C23" s="125" t="n">
        <x:v>48396</x:v>
      </x:c>
      <x:c r="D23" s="124" t="n">
        <x:v>14</x:v>
      </x:c>
      <x:c r="E23" s="125" t="n">
        <x:v>47849</x:v>
      </x:c>
      <x:c r="F23" s="164" t="n">
        <x:f>E23-'Настройки'!$B$4</x:f>
        <x:v>1646</x:v>
      </x:c>
      <x:c r="G23" s="165" t="n">
        <x:f>F23/'Настройки'!$B$5</x:f>
        <x:v>4.50958904109589</x:v>
      </x:c>
      <x:c r="H23" s="165" t="n">
        <x:f>IF(G23&lt;=MIN('Исходные кривые'!$B$4:$L$4),INDEX('Исходные кривые'!$B$5:$L$5,1,1),IF(G23&gt;=MAX('Исходные кривые'!$B$4:$L$4),INDEX('Исходные кривые'!$B$5:$L$5,1,COLUMNS('Исходные кривые'!$B$5:$L$5)),INDEX('Исходные кривые'!$B$5:$L$5,1,MATCH(G23,'Исходные кривые'!$B$4:$L$4,1))+(G23-INDEX('Исходные кривые'!$B$4:$L$4,1,MATCH(G23,'Исходные кривые'!$B$4:$L$4,1)))*(INDEX('Исходные кривые'!$B$5:$L$5,1,MATCH(G23,'Исходные кривые'!$B$4:$L$4,1)+1)-INDEX('Исходные кривые'!$B$5:$L$5,1,MATCH(G23,'Исходные кривые'!$B$4:$L$4,1)))/(INDEX('Исходные кривые'!$B$4:$L$4,1,MATCH(G23,'Исходные кривые'!$B$4:$L$4,1)+1)-INDEX('Исходные кривые'!$B$4:$L$4,1,MATCH(G23,'Исходные кривые'!$B$4:$L$4,1)))))</x:f>
        <x:v>15.187054794520549</x:v>
      </x:c>
      <x:c r="I23" s="165" t="n">
        <x:f>IF(G23&lt;=MIN('Исходные кривые'!$B$8:$N$8),INDEX('Исходные кривые'!$B$9:$N$9,1,1),IF(G23&gt;=MAX('Исходные кривые'!$B$8:$N$8),INDEX('Исходные кривые'!$B$9:$N$9,1,COLUMNS('Исходные кривые'!$B$9:$N$9)),INDEX('Исходные кривые'!$B$9:$N$9,1,MATCH(G23,'Исходные кривые'!$B$8:$N$8,1))+(G23-INDEX('Исходные кривые'!$B$8:$N$8,1,MATCH(G23,'Исходные кривые'!$B$8:$N$8,1)))*(INDEX('Исходные кривые'!$B$9:$N$9,1,MATCH(G23,'Исходные кривые'!$B$8:$N$8,1)+1)-INDEX('Исходные кривые'!$B$9:$N$9,1,MATCH(G23,'Исходные кривые'!$B$8:$N$8,1)))/(INDEX('Исходные кривые'!$B$8:$N$8,1,MATCH(G23,'Исходные кривые'!$B$8:$N$8,1)+1)-INDEX('Исходные кривые'!$B$8:$N$8,1,MATCH(G23,'Исходные кривые'!$B$8:$N$8,1)))))</x:f>
        <x:v>17.18705479452055</x:v>
      </x:c>
      <x:c r="J23" s="165" t="n">
        <x:f>IF(G23&lt;=MIN('Исходные кривые'!$B$12:$K$12),INDEX('Исходные кривые'!$B$13:$K$13,1,1),IF(G23&gt;=MAX('Исходные кривые'!$B$12:$K$12),INDEX('Исходные кривые'!$B$13:$K$13,1,COLUMNS('Исходные кривые'!$B$13:$K$13)),INDEX('Исходные кривые'!$B$13:$K$13,1,MATCH(G23,'Исходные кривые'!$B$12:$K$12,1))+(G23-INDEX('Исходные кривые'!$B$12:$K$12,1,MATCH(G23,'Исходные кривые'!$B$12:$K$12,1)))*(INDEX('Исходные кривые'!$B$13:$K$13,1,MATCH(G23,'Исходные кривые'!$B$12:$K$12,1)+1)-INDEX('Исходные кривые'!$B$13:$K$13,1,MATCH(G23,'Исходные кривые'!$B$12:$K$12,1)))/(INDEX('Исходные кривые'!$B$12:$K$12,1,MATCH(G23,'Исходные кривые'!$B$12:$K$12,1)+1)-INDEX('Исходные кривые'!$B$12:$K$12,1,MATCH(G23,'Исходные кривые'!$B$12:$K$12,1)))))</x:f>
        <x:v>49.47123287671233</x:v>
      </x:c>
      <x:c r="K23" s="165" t="n">
        <x:f>IF(G23&lt;=MIN('Исходные кривые'!$B$12:$K$12),INDEX('Исходные кривые'!$B$14:$K$14,1,1),IF(G23&gt;=MAX('Исходные кривые'!$B$12:$K$12),INDEX('Исходные кривые'!$B$14:$K$14,1,COLUMNS('Исходные кривые'!$B$14:$K$14)),INDEX('Исходные кривые'!$B$14:$K$14,1,MATCH(G23,'Исходные кривые'!$B$12:$K$12,1))+(G23-INDEX('Исходные кривые'!$B$12:$K$12,1,MATCH(G23,'Исходные кривые'!$B$12:$K$12,1)))*(INDEX('Исходные кривые'!$B$14:$K$14,1,MATCH(G23,'Исходные кривые'!$B$12:$K$12,1)+1)-INDEX('Исходные кривые'!$B$14:$K$14,1,MATCH(G23,'Исходные кривые'!$B$12:$K$12,1)))/(INDEX('Исходные кривые'!$B$12:$K$12,1,MATCH(G23,'Исходные кривые'!$B$12:$K$12,1)+1)-INDEX('Исходные кривые'!$B$12:$K$12,1,MATCH(G23,'Исходные кривые'!$B$12:$K$12,1)))))</x:f>
        <x:v>-27.245205479452054</x:v>
      </x:c>
      <x:c r="L23" s="165" t="n">
        <x:f>IF(G23&lt;=MIN('Исходные кривые'!$B$17:$L$17),INDEX('Исходные кривые'!$B$18:$L$18,1,1),IF(G23&gt;=MAX('Исходные кривые'!$B$17:$L$17),INDEX('Исходные кривые'!$B$18:$L$18,1,COLUMNS('Исходные кривые'!$B$18:$L$18)),INDEX('Исходные кривые'!$B$18:$L$18,1,MATCH(G23,'Исходные кривые'!$B$17:$L$17,1))+(G23-INDEX('Исходные кривые'!$B$17:$L$17,1,MATCH(G23,'Исходные кривые'!$B$17:$L$17,1)))*(INDEX('Исходные кривые'!$B$18:$L$18,1,MATCH(G23,'Исходные кривые'!$B$17:$L$17,1)+1)-INDEX('Исходные кривые'!$B$18:$L$18,1,MATCH(G23,'Исходные кривые'!$B$17:$L$17,1)))/(INDEX('Исходные кривые'!$B$17:$L$17,1,MATCH(G23,'Исходные кривые'!$B$17:$L$17,1)+1)-INDEX('Исходные кривые'!$B$17:$L$17,1,MATCH(G23,'Исходные кривые'!$B$17:$L$17,1)))))</x:f>
        <x:v>5.767808219178082</x:v>
      </x:c>
      <x:c r="M23" s="165" t="n">
        <x:f>IF(G23&lt;=MIN('Исходные кривые'!$B$17:$L$17),INDEX('Исходные кривые'!$B$19:$L$19,1,1),IF(G23&gt;=MAX('Исходные кривые'!$B$17:$L$17),INDEX('Исходные кривые'!$B$19:$L$19,1,COLUMNS('Исходные кривые'!$B$19:$L$19)),INDEX('Исходные кривые'!$B$19:$L$19,1,MATCH(G23,'Исходные кривые'!$B$17:$L$17,1))+(G23-INDEX('Исходные кривые'!$B$17:$L$17,1,MATCH(G23,'Исходные кривые'!$B$17:$L$17,1)))*(INDEX('Исходные кривые'!$B$19:$L$19,1,MATCH(G23,'Исходные кривые'!$B$17:$L$17,1)+1)-INDEX('Исходные кривые'!$B$19:$L$19,1,MATCH(G23,'Исходные кривые'!$B$17:$L$17,1)))/(INDEX('Исходные кривые'!$B$17:$L$17,1,MATCH(G23,'Исходные кривые'!$B$17:$L$17,1)+1)-INDEX('Исходные кривые'!$B$17:$L$17,1,MATCH(G23,'Исходные кривые'!$B$17:$L$17,1)))))</x:f>
        <x:v>-2.365890410958904</x:v>
      </x:c>
    </x:row>
    <x:row r="24">
      <x:c r="A24" s="124" t="str">
        <x:v>Своп 1</x:v>
      </x:c>
      <x:c r="B24" s="125" t="n">
        <x:v>46569</x:v>
      </x:c>
      <x:c r="C24" s="125" t="n">
        <x:v>48396</x:v>
      </x:c>
      <x:c r="D24" s="124" t="n">
        <x:v>15</x:v>
      </x:c>
      <x:c r="E24" s="125" t="n">
        <x:v>47939</x:v>
      </x:c>
      <x:c r="F24" s="164" t="n">
        <x:f>E24-'Настройки'!$B$4</x:f>
        <x:v>1736</x:v>
      </x:c>
      <x:c r="G24" s="165" t="n">
        <x:f>F24/'Настройки'!$B$5</x:f>
        <x:v>4.756164383561644</x:v>
      </x:c>
      <x:c r="H24" s="165" t="n">
        <x:f>IF(G24&lt;=MIN('Исходные кривые'!$B$4:$L$4),INDEX('Исходные кривые'!$B$5:$L$5,1,1),IF(G24&gt;=MAX('Исходные кривые'!$B$4:$L$4),INDEX('Исходные кривые'!$B$5:$L$5,1,COLUMNS('Исходные кривые'!$B$5:$L$5)),INDEX('Исходные кривые'!$B$5:$L$5,1,MATCH(G24,'Исходные кривые'!$B$4:$L$4,1))+(G24-INDEX('Исходные кривые'!$B$4:$L$4,1,MATCH(G24,'Исходные кривые'!$B$4:$L$4,1)))*(INDEX('Исходные кривые'!$B$5:$L$5,1,MATCH(G24,'Исходные кривые'!$B$4:$L$4,1)+1)-INDEX('Исходные кривые'!$B$5:$L$5,1,MATCH(G24,'Исходные кривые'!$B$4:$L$4,1)))/(INDEX('Исходные кривые'!$B$4:$L$4,1,MATCH(G24,'Исходные кривые'!$B$4:$L$4,1)+1)-INDEX('Исходные кривые'!$B$4:$L$4,1,MATCH(G24,'Исходные кривые'!$B$4:$L$4,1)))))</x:f>
        <x:v>15.30417808219178</x:v>
      </x:c>
      <x:c r="I24" s="165" t="n">
        <x:f>IF(G24&lt;=MIN('Исходные кривые'!$B$8:$N$8),INDEX('Исходные кривые'!$B$9:$N$9,1,1),IF(G24&gt;=MAX('Исходные кривые'!$B$8:$N$8),INDEX('Исходные кривые'!$B$9:$N$9,1,COLUMNS('Исходные кривые'!$B$9:$N$9)),INDEX('Исходные кривые'!$B$9:$N$9,1,MATCH(G24,'Исходные кривые'!$B$8:$N$8,1))+(G24-INDEX('Исходные кривые'!$B$8:$N$8,1,MATCH(G24,'Исходные кривые'!$B$8:$N$8,1)))*(INDEX('Исходные кривые'!$B$9:$N$9,1,MATCH(G24,'Исходные кривые'!$B$8:$N$8,1)+1)-INDEX('Исходные кривые'!$B$9:$N$9,1,MATCH(G24,'Исходные кривые'!$B$8:$N$8,1)))/(INDEX('Исходные кривые'!$B$8:$N$8,1,MATCH(G24,'Исходные кривые'!$B$8:$N$8,1)+1)-INDEX('Исходные кривые'!$B$8:$N$8,1,MATCH(G24,'Исходные кривые'!$B$8:$N$8,1)))))</x:f>
        <x:v>17.304178082191783</x:v>
      </x:c>
      <x:c r="J24" s="165" t="n">
        <x:f>IF(G24&lt;=MIN('Исходные кривые'!$B$12:$K$12),INDEX('Исходные кривые'!$B$13:$K$13,1,1),IF(G24&gt;=MAX('Исходные кривые'!$B$12:$K$12),INDEX('Исходные кривые'!$B$13:$K$13,1,COLUMNS('Исходные кривые'!$B$13:$K$13)),INDEX('Исходные кривые'!$B$13:$K$13,1,MATCH(G24,'Исходные кривые'!$B$12:$K$12,1))+(G24-INDEX('Исходные кривые'!$B$12:$K$12,1,MATCH(G24,'Исходные кривые'!$B$12:$K$12,1)))*(INDEX('Исходные кривые'!$B$13:$K$13,1,MATCH(G24,'Исходные кривые'!$B$12:$K$12,1)+1)-INDEX('Исходные кривые'!$B$13:$K$13,1,MATCH(G24,'Исходные кривые'!$B$12:$K$12,1)))/(INDEX('Исходные кривые'!$B$12:$K$12,1,MATCH(G24,'Исходные кривые'!$B$12:$K$12,1)+1)-INDEX('Исходные кривые'!$B$12:$K$12,1,MATCH(G24,'Исходные кривые'!$B$12:$K$12,1)))))</x:f>
        <x:v>48.73150684931507</x:v>
      </x:c>
      <x:c r="K24" s="165" t="n">
        <x:f>IF(G24&lt;=MIN('Исходные кривые'!$B$12:$K$12),INDEX('Исходные кривые'!$B$14:$K$14,1,1),IF(G24&gt;=MAX('Исходные кривые'!$B$12:$K$12),INDEX('Исходные кривые'!$B$14:$K$14,1,COLUMNS('Исходные кривые'!$B$14:$K$14)),INDEX('Исходные кривые'!$B$14:$K$14,1,MATCH(G24,'Исходные кривые'!$B$12:$K$12,1))+(G24-INDEX('Исходные кривые'!$B$12:$K$12,1,MATCH(G24,'Исходные кривые'!$B$12:$K$12,1)))*(INDEX('Исходные кривые'!$B$14:$K$14,1,MATCH(G24,'Исходные кривые'!$B$12:$K$12,1)+1)-INDEX('Исходные кривые'!$B$14:$K$14,1,MATCH(G24,'Исходные кривые'!$B$12:$K$12,1)))/(INDEX('Исходные кривые'!$B$12:$K$12,1,MATCH(G24,'Исходные кривые'!$B$12:$K$12,1)+1)-INDEX('Исходные кривые'!$B$12:$K$12,1,MATCH(G24,'Исходные кривые'!$B$12:$K$12,1)))))</x:f>
        <x:v>-27.121917808219177</x:v>
      </x:c>
      <x:c r="L24" s="165" t="n">
        <x:f>IF(G24&lt;=MIN('Исходные кривые'!$B$17:$L$17),INDEX('Исходные кривые'!$B$18:$L$18,1,1),IF(G24&gt;=MAX('Исходные кривые'!$B$17:$L$17),INDEX('Исходные кривые'!$B$18:$L$18,1,COLUMNS('Исходные кривые'!$B$18:$L$18)),INDEX('Исходные кривые'!$B$18:$L$18,1,MATCH(G24,'Исходные кривые'!$B$17:$L$17,1))+(G24-INDEX('Исходные кривые'!$B$17:$L$17,1,MATCH(G24,'Исходные кривые'!$B$17:$L$17,1)))*(INDEX('Исходные кривые'!$B$18:$L$18,1,MATCH(G24,'Исходные кривые'!$B$17:$L$17,1)+1)-INDEX('Исходные кривые'!$B$18:$L$18,1,MATCH(G24,'Исходные кривые'!$B$17:$L$17,1)))/(INDEX('Исходные кривые'!$B$17:$L$17,1,MATCH(G24,'Исходные кривые'!$B$17:$L$17,1)+1)-INDEX('Исходные кривые'!$B$17:$L$17,1,MATCH(G24,'Исходные кривые'!$B$17:$L$17,1)))))</x:f>
        <x:v>5.582876712328767</x:v>
      </x:c>
      <x:c r="M24" s="165" t="n">
        <x:f>IF(G24&lt;=MIN('Исходные кривые'!$B$17:$L$17),INDEX('Исходные кривые'!$B$19:$L$19,1,1),IF(G24&gt;=MAX('Исходные кривые'!$B$17:$L$17),INDEX('Исходные кривые'!$B$19:$L$19,1,COLUMNS('Исходные кривые'!$B$19:$L$19)),INDEX('Исходные кривые'!$B$19:$L$19,1,MATCH(G24,'Исходные кривые'!$B$17:$L$17,1))+(G24-INDEX('Исходные кривые'!$B$17:$L$17,1,MATCH(G24,'Исходные кривые'!$B$17:$L$17,1)))*(INDEX('Исходные кривые'!$B$19:$L$19,1,MATCH(G24,'Исходные кривые'!$B$17:$L$17,1)+1)-INDEX('Исходные кривые'!$B$19:$L$19,1,MATCH(G24,'Исходные кривые'!$B$17:$L$17,1)))/(INDEX('Исходные кривые'!$B$17:$L$17,1,MATCH(G24,'Исходные кривые'!$B$17:$L$17,1)+1)-INDEX('Исходные кривые'!$B$17:$L$17,1,MATCH(G24,'Исходные кривые'!$B$17:$L$17,1)))))</x:f>
        <x:v>-2.131643835616438</x:v>
      </x:c>
    </x:row>
    <x:row r="25">
      <x:c r="A25" s="124" t="str">
        <x:v>Своп 1</x:v>
      </x:c>
      <x:c r="B25" s="125" t="n">
        <x:v>46569</x:v>
      </x:c>
      <x:c r="C25" s="125" t="n">
        <x:v>48396</x:v>
      </x:c>
      <x:c r="D25" s="124" t="n">
        <x:v>16</x:v>
      </x:c>
      <x:c r="E25" s="125" t="n">
        <x:v>48030</x:v>
      </x:c>
      <x:c r="F25" s="164" t="n">
        <x:f>E25-'Настройки'!$B$4</x:f>
        <x:v>1827</x:v>
      </x:c>
      <x:c r="G25" s="165" t="n">
        <x:f>F25/'Настройки'!$B$5</x:f>
        <x:v>5.005479452054795</x:v>
      </x:c>
      <x:c r="H25" s="165" t="n">
        <x:f>IF(G25&lt;=MIN('Исходные кривые'!$B$4:$L$4),INDEX('Исходные кривые'!$B$5:$L$5,1,1),IF(G25&gt;=MAX('Исходные кривые'!$B$4:$L$4),INDEX('Исходные кривые'!$B$5:$L$5,1,COLUMNS('Исходные кривые'!$B$5:$L$5)),INDEX('Исходные кривые'!$B$5:$L$5,1,MATCH(G25,'Исходные кривые'!$B$4:$L$4,1))+(G25-INDEX('Исходные кривые'!$B$4:$L$4,1,MATCH(G25,'Исходные кривые'!$B$4:$L$4,1)))*(INDEX('Исходные кривые'!$B$5:$L$5,1,MATCH(G25,'Исходные кривые'!$B$4:$L$4,1)+1)-INDEX('Исходные кривые'!$B$5:$L$5,1,MATCH(G25,'Исходные кривые'!$B$4:$L$4,1)))/(INDEX('Исходные кривые'!$B$4:$L$4,1,MATCH(G25,'Исходные кривые'!$B$4:$L$4,1)+1)-INDEX('Исходные кривые'!$B$4:$L$4,1,MATCH(G25,'Исходные кривые'!$B$4:$L$4,1)))))</x:f>
        <x:v>15.421534246575343</x:v>
      </x:c>
      <x:c r="I25" s="165" t="n">
        <x:f>IF(G25&lt;=MIN('Исходные кривые'!$B$8:$N$8),INDEX('Исходные кривые'!$B$9:$N$9,1,1),IF(G25&gt;=MAX('Исходные кривые'!$B$8:$N$8),INDEX('Исходные кривые'!$B$9:$N$9,1,COLUMNS('Исходные кривые'!$B$9:$N$9)),INDEX('Исходные кривые'!$B$9:$N$9,1,MATCH(G25,'Исходные кривые'!$B$8:$N$8,1))+(G25-INDEX('Исходные кривые'!$B$8:$N$8,1,MATCH(G25,'Исходные кривые'!$B$8:$N$8,1)))*(INDEX('Исходные кривые'!$B$9:$N$9,1,MATCH(G25,'Исходные кривые'!$B$8:$N$8,1)+1)-INDEX('Исходные кривые'!$B$9:$N$9,1,MATCH(G25,'Исходные кривые'!$B$8:$N$8,1)))/(INDEX('Исходные кривые'!$B$8:$N$8,1,MATCH(G25,'Исходные кривые'!$B$8:$N$8,1)+1)-INDEX('Исходные кривые'!$B$8:$N$8,1,MATCH(G25,'Исходные кривые'!$B$8:$N$8,1)))))</x:f>
        <x:v>17.421534246575344</x:v>
      </x:c>
      <x:c r="J25" s="165" t="n">
        <x:f>IF(G25&lt;=MIN('Исходные кривые'!$B$12:$K$12),INDEX('Исходные кривые'!$B$13:$K$13,1,1),IF(G25&gt;=MAX('Исходные кривые'!$B$12:$K$12),INDEX('Исходные кривые'!$B$13:$K$13,1,COLUMNS('Исходные кривые'!$B$13:$K$13)),INDEX('Исходные кривые'!$B$13:$K$13,1,MATCH(G25,'Исходные кривые'!$B$12:$K$12,1))+(G25-INDEX('Исходные кривые'!$B$12:$K$12,1,MATCH(G25,'Исходные кривые'!$B$12:$K$12,1)))*(INDEX('Исходные кривые'!$B$13:$K$13,1,MATCH(G25,'Исходные кривые'!$B$12:$K$12,1)+1)-INDEX('Исходные кривые'!$B$13:$K$13,1,MATCH(G25,'Исходные кривые'!$B$12:$K$12,1)))/(INDEX('Исходные кривые'!$B$12:$K$12,1,MATCH(G25,'Исходные кривые'!$B$12:$K$12,1)+1)-INDEX('Исходные кривые'!$B$12:$K$12,1,MATCH(G25,'Исходные кривые'!$B$12:$K$12,1)))))</x:f>
        <x:v>47.983561643835614</x:v>
      </x:c>
      <x:c r="K25" s="165" t="n">
        <x:f>IF(G25&lt;=MIN('Исходные кривые'!$B$12:$K$12),INDEX('Исходные кривые'!$B$14:$K$14,1,1),IF(G25&gt;=MAX('Исходные кривые'!$B$12:$K$12),INDEX('Исходные кривые'!$B$14:$K$14,1,COLUMNS('Исходные кривые'!$B$14:$K$14)),INDEX('Исходные кривые'!$B$14:$K$14,1,MATCH(G25,'Исходные кривые'!$B$12:$K$12,1))+(G25-INDEX('Исходные кривые'!$B$12:$K$12,1,MATCH(G25,'Исходные кривые'!$B$12:$K$12,1)))*(INDEX('Исходные кривые'!$B$14:$K$14,1,MATCH(G25,'Исходные кривые'!$B$12:$K$12,1)+1)-INDEX('Исходные кривые'!$B$14:$K$14,1,MATCH(G25,'Исходные кривые'!$B$12:$K$12,1)))/(INDEX('Исходные кривые'!$B$12:$K$12,1,MATCH(G25,'Исходные кривые'!$B$12:$K$12,1)+1)-INDEX('Исходные кривые'!$B$12:$K$12,1,MATCH(G25,'Исходные кривые'!$B$12:$K$12,1)))))</x:f>
        <x:v>-26.997260273972604</x:v>
      </x:c>
      <x:c r="L25" s="165" t="n">
        <x:f>IF(G25&lt;=MIN('Исходные кривые'!$B$17:$L$17),INDEX('Исходные кривые'!$B$18:$L$18,1,1),IF(G25&gt;=MAX('Исходные кривые'!$B$17:$L$17),INDEX('Исходные кривые'!$B$18:$L$18,1,COLUMNS('Исходные кривые'!$B$18:$L$18)),INDEX('Исходные кривые'!$B$18:$L$18,1,MATCH(G25,'Исходные кривые'!$B$17:$L$17,1))+(G25-INDEX('Исходные кривые'!$B$17:$L$17,1,MATCH(G25,'Исходные кривые'!$B$17:$L$17,1)))*(INDEX('Исходные кривые'!$B$18:$L$18,1,MATCH(G25,'Исходные кривые'!$B$17:$L$17,1)+1)-INDEX('Исходные кривые'!$B$18:$L$18,1,MATCH(G25,'Исходные кривые'!$B$17:$L$17,1)))/(INDEX('Исходные кривые'!$B$17:$L$17,1,MATCH(G25,'Исходные кривые'!$B$17:$L$17,1)+1)-INDEX('Исходные кривые'!$B$17:$L$17,1,MATCH(G25,'Исходные кривые'!$B$17:$L$17,1)))))</x:f>
        <x:v>5.4</x:v>
      </x:c>
      <x:c r="M25" s="165" t="n">
        <x:f>IF(G25&lt;=MIN('Исходные кривые'!$B$17:$L$17),INDEX('Исходные кривые'!$B$19:$L$19,1,1),IF(G25&gt;=MAX('Исходные кривые'!$B$17:$L$17),INDEX('Исходные кривые'!$B$19:$L$19,1,COLUMNS('Исходные кривые'!$B$19:$L$19)),INDEX('Исходные кривые'!$B$19:$L$19,1,MATCH(G25,'Исходные кривые'!$B$17:$L$17,1))+(G25-INDEX('Исходные кривые'!$B$17:$L$17,1,MATCH(G25,'Исходные кривые'!$B$17:$L$17,1)))*(INDEX('Исходные кривые'!$B$19:$L$19,1,MATCH(G25,'Исходные кривые'!$B$17:$L$17,1)+1)-INDEX('Исходные кривые'!$B$19:$L$19,1,MATCH(G25,'Исходные кривые'!$B$17:$L$17,1)))/(INDEX('Исходные кривые'!$B$17:$L$17,1,MATCH(G25,'Исходные кривые'!$B$17:$L$17,1)+1)-INDEX('Исходные кривые'!$B$17:$L$17,1,MATCH(G25,'Исходные кривые'!$B$17:$L$17,1)))))</x:f>
        <x:v>-1.9</x:v>
      </x:c>
    </x:row>
    <x:row r="26">
      <x:c r="A26" s="124" t="str">
        <x:v>Своп 1</x:v>
      </x:c>
      <x:c r="B26" s="125" t="n">
        <x:v>46569</x:v>
      </x:c>
      <x:c r="C26" s="125" t="n">
        <x:v>48396</x:v>
      </x:c>
      <x:c r="D26" s="124" t="n">
        <x:v>17</x:v>
      </x:c>
      <x:c r="E26" s="125" t="n">
        <x:v>48122</x:v>
      </x:c>
      <x:c r="F26" s="164" t="n">
        <x:f>E26-'Настройки'!$B$4</x:f>
        <x:v>1919</x:v>
      </x:c>
      <x:c r="G26" s="165" t="n">
        <x:f>F26/'Настройки'!$B$5</x:f>
        <x:v>5.257534246575342</x:v>
      </x:c>
      <x:c r="H26" s="165" t="n">
        <x:f>IF(G26&lt;=MIN('Исходные кривые'!$B$4:$L$4),INDEX('Исходные кривые'!$B$5:$L$5,1,1),IF(G26&gt;=MAX('Исходные кривые'!$B$4:$L$4),INDEX('Исходные кривые'!$B$5:$L$5,1,COLUMNS('Исходные кривые'!$B$5:$L$5)),INDEX('Исходные кривые'!$B$5:$L$5,1,MATCH(G26,'Исходные кривые'!$B$4:$L$4,1))+(G26-INDEX('Исходные кривые'!$B$4:$L$4,1,MATCH(G26,'Исходные кривые'!$B$4:$L$4,1)))*(INDEX('Исходные кривые'!$B$5:$L$5,1,MATCH(G26,'Исходные кривые'!$B$4:$L$4,1)+1)-INDEX('Исходные кривые'!$B$5:$L$5,1,MATCH(G26,'Исходные кривые'!$B$4:$L$4,1)))/(INDEX('Исходные кривые'!$B$4:$L$4,1,MATCH(G26,'Исходные кривые'!$B$4:$L$4,1)+1)-INDEX('Исходные кривые'!$B$4:$L$4,1,MATCH(G26,'Исходные кривые'!$B$4:$L$4,1)))))</x:f>
        <x:v>15.492109589041096</x:v>
      </x:c>
      <x:c r="I26" s="165" t="n">
        <x:f>IF(G26&lt;=MIN('Исходные кривые'!$B$8:$N$8),INDEX('Исходные кривые'!$B$9:$N$9,1,1),IF(G26&gt;=MAX('Исходные кривые'!$B$8:$N$8),INDEX('Исходные кривые'!$B$9:$N$9,1,COLUMNS('Исходные кривые'!$B$9:$N$9)),INDEX('Исходные кривые'!$B$9:$N$9,1,MATCH(G26,'Исходные кривые'!$B$8:$N$8,1))+(G26-INDEX('Исходные кривые'!$B$8:$N$8,1,MATCH(G26,'Исходные кривые'!$B$8:$N$8,1)))*(INDEX('Исходные кривые'!$B$9:$N$9,1,MATCH(G26,'Исходные кривые'!$B$8:$N$8,1)+1)-INDEX('Исходные кривые'!$B$9:$N$9,1,MATCH(G26,'Исходные кривые'!$B$8:$N$8,1)))/(INDEX('Исходные кривые'!$B$8:$N$8,1,MATCH(G26,'Исходные кривые'!$B$8:$N$8,1)+1)-INDEX('Исходные кривые'!$B$8:$N$8,1,MATCH(G26,'Исходные кривые'!$B$8:$N$8,1)))))</x:f>
        <x:v>17.492109589041096</x:v>
      </x:c>
      <x:c r="J26" s="165" t="n">
        <x:f>IF(G26&lt;=MIN('Исходные кривые'!$B$12:$K$12),INDEX('Исходные кривые'!$B$13:$K$13,1,1),IF(G26&gt;=MAX('Исходные кривые'!$B$12:$K$12),INDEX('Исходные кривые'!$B$13:$K$13,1,COLUMNS('Исходные кривые'!$B$13:$K$13)),INDEX('Исходные кривые'!$B$13:$K$13,1,MATCH(G26,'Исходные кривые'!$B$12:$K$12,1))+(G26-INDEX('Исходные кривые'!$B$12:$K$12,1,MATCH(G26,'Исходные кривые'!$B$12:$K$12,1)))*(INDEX('Исходные кривые'!$B$13:$K$13,1,MATCH(G26,'Исходные кривые'!$B$12:$K$12,1)+1)-INDEX('Исходные кривые'!$B$13:$K$13,1,MATCH(G26,'Исходные кривые'!$B$12:$K$12,1)))/(INDEX('Исходные кривые'!$B$12:$K$12,1,MATCH(G26,'Исходные кривые'!$B$12:$K$12,1)+1)-INDEX('Исходные кривые'!$B$12:$K$12,1,MATCH(G26,'Исходные кривые'!$B$12:$K$12,1)))))</x:f>
        <x:v>47.227397260273975</x:v>
      </x:c>
      <x:c r="K26" s="165" t="n">
        <x:f>IF(G26&lt;=MIN('Исходные кривые'!$B$12:$K$12),INDEX('Исходные кривые'!$B$14:$K$14,1,1),IF(G26&gt;=MAX('Исходные кривые'!$B$12:$K$12),INDEX('Исходные кривые'!$B$14:$K$14,1,COLUMNS('Исходные кривые'!$B$14:$K$14)),INDEX('Исходные кривые'!$B$14:$K$14,1,MATCH(G26,'Исходные кривые'!$B$12:$K$12,1))+(G26-INDEX('Исходные кривые'!$B$12:$K$12,1,MATCH(G26,'Исходные кривые'!$B$12:$K$12,1)))*(INDEX('Исходные кривые'!$B$14:$K$14,1,MATCH(G26,'Исходные кривые'!$B$12:$K$12,1)+1)-INDEX('Исходные кривые'!$B$14:$K$14,1,MATCH(G26,'Исходные кривые'!$B$12:$K$12,1)))/(INDEX('Исходные кривые'!$B$12:$K$12,1,MATCH(G26,'Исходные кривые'!$B$12:$K$12,1)+1)-INDEX('Исходные кривые'!$B$12:$K$12,1,MATCH(G26,'Исходные кривые'!$B$12:$K$12,1)))))</x:f>
        <x:v>-26.87123287671233</x:v>
      </x:c>
      <x:c r="L26" s="165" t="n">
        <x:f>IF(G26&lt;=MIN('Исходные кривые'!$B$17:$L$17),INDEX('Исходные кривые'!$B$18:$L$18,1,1),IF(G26&gt;=MAX('Исходные кривые'!$B$17:$L$17),INDEX('Исходные кривые'!$B$18:$L$18,1,COLUMNS('Исходные кривые'!$B$18:$L$18)),INDEX('Исходные кривые'!$B$18:$L$18,1,MATCH(G26,'Исходные кривые'!$B$17:$L$17,1))+(G26-INDEX('Исходные кривые'!$B$17:$L$17,1,MATCH(G26,'Исходные кривые'!$B$17:$L$17,1)))*(INDEX('Исходные кривые'!$B$18:$L$18,1,MATCH(G26,'Исходные кривые'!$B$17:$L$17,1)+1)-INDEX('Исходные кривые'!$B$18:$L$18,1,MATCH(G26,'Исходные кривые'!$B$17:$L$17,1)))/(INDEX('Исходные кривые'!$B$17:$L$17,1,MATCH(G26,'Исходные кривые'!$B$17:$L$17,1)+1)-INDEX('Исходные кривые'!$B$17:$L$17,1,MATCH(G26,'Исходные кривые'!$B$17:$L$17,1)))))</x:f>
        <x:v>5.4</x:v>
      </x:c>
      <x:c r="M26" s="165" t="n">
        <x:f>IF(G26&lt;=MIN('Исходные кривые'!$B$17:$L$17),INDEX('Исходные кривые'!$B$19:$L$19,1,1),IF(G26&gt;=MAX('Исходные кривые'!$B$17:$L$17),INDEX('Исходные кривые'!$B$19:$L$19,1,COLUMNS('Исходные кривые'!$B$19:$L$19)),INDEX('Исходные кривые'!$B$19:$L$19,1,MATCH(G26,'Исходные кривые'!$B$17:$L$17,1))+(G26-INDEX('Исходные кривые'!$B$17:$L$17,1,MATCH(G26,'Исходные кривые'!$B$17:$L$17,1)))*(INDEX('Исходные кривые'!$B$19:$L$19,1,MATCH(G26,'Исходные кривые'!$B$17:$L$17,1)+1)-INDEX('Исходные кривые'!$B$19:$L$19,1,MATCH(G26,'Исходные кривые'!$B$17:$L$17,1)))/(INDEX('Исходные кривые'!$B$17:$L$17,1,MATCH(G26,'Исходные кривые'!$B$17:$L$17,1)+1)-INDEX('Исходные кривые'!$B$17:$L$17,1,MATCH(G26,'Исходные кривые'!$B$17:$L$17,1)))))</x:f>
        <x:v>-1.9</x:v>
      </x:c>
    </x:row>
    <x:row r="27">
      <x:c r="A27" s="124" t="str">
        <x:v>Своп 1</x:v>
      </x:c>
      <x:c r="B27" s="125" t="n">
        <x:v>46569</x:v>
      </x:c>
      <x:c r="C27" s="125" t="n">
        <x:v>48396</x:v>
      </x:c>
      <x:c r="D27" s="124" t="n">
        <x:v>18</x:v>
      </x:c>
      <x:c r="E27" s="125" t="n">
        <x:v>48214</x:v>
      </x:c>
      <x:c r="F27" s="164" t="n">
        <x:f>E27-'Настройки'!$B$4</x:f>
        <x:v>2011</x:v>
      </x:c>
      <x:c r="G27" s="165" t="n">
        <x:f>F27/'Настройки'!$B$5</x:f>
        <x:v>5.50958904109589</x:v>
      </x:c>
      <x:c r="H27" s="165" t="n">
        <x:f>IF(G27&lt;=MIN('Исходные кривые'!$B$4:$L$4),INDEX('Исходные кривые'!$B$5:$L$5,1,1),IF(G27&gt;=MAX('Исходные кривые'!$B$4:$L$4),INDEX('Исходные кривые'!$B$5:$L$5,1,COLUMNS('Исходные кривые'!$B$5:$L$5)),INDEX('Исходные кривые'!$B$5:$L$5,1,MATCH(G27,'Исходные кривые'!$B$4:$L$4,1))+(G27-INDEX('Исходные кривые'!$B$4:$L$4,1,MATCH(G27,'Исходные кривые'!$B$4:$L$4,1)))*(INDEX('Исходные кривые'!$B$5:$L$5,1,MATCH(G27,'Исходные кривые'!$B$4:$L$4,1)+1)-INDEX('Исходные кривые'!$B$5:$L$5,1,MATCH(G27,'Исходные кривые'!$B$4:$L$4,1)))/(INDEX('Исходные кривые'!$B$4:$L$4,1,MATCH(G27,'Исходные кривые'!$B$4:$L$4,1)+1)-INDEX('Исходные кривые'!$B$4:$L$4,1,MATCH(G27,'Исходные кривые'!$B$4:$L$4,1)))))</x:f>
        <x:v>15.56268493150685</x:v>
      </x:c>
      <x:c r="I27" s="165" t="n">
        <x:f>IF(G27&lt;=MIN('Исходные кривые'!$B$8:$N$8),INDEX('Исходные кривые'!$B$9:$N$9,1,1),IF(G27&gt;=MAX('Исходные кривые'!$B$8:$N$8),INDEX('Исходные кривые'!$B$9:$N$9,1,COLUMNS('Исходные кривые'!$B$9:$N$9)),INDEX('Исходные кривые'!$B$9:$N$9,1,MATCH(G27,'Исходные кривые'!$B$8:$N$8,1))+(G27-INDEX('Исходные кривые'!$B$8:$N$8,1,MATCH(G27,'Исходные кривые'!$B$8:$N$8,1)))*(INDEX('Исходные кривые'!$B$9:$N$9,1,MATCH(G27,'Исходные кривые'!$B$8:$N$8,1)+1)-INDEX('Исходные кривые'!$B$9:$N$9,1,MATCH(G27,'Исходные кривые'!$B$8:$N$8,1)))/(INDEX('Исходные кривые'!$B$8:$N$8,1,MATCH(G27,'Исходные кривые'!$B$8:$N$8,1)+1)-INDEX('Исходные кривые'!$B$8:$N$8,1,MATCH(G27,'Исходные кривые'!$B$8:$N$8,1)))))</x:f>
        <x:v>17.56268493150685</x:v>
      </x:c>
      <x:c r="J27" s="165" t="n">
        <x:f>IF(G27&lt;=MIN('Исходные кривые'!$B$12:$K$12),INDEX('Исходные кривые'!$B$13:$K$13,1,1),IF(G27&gt;=MAX('Исходные кривые'!$B$12:$K$12),INDEX('Исходные кривые'!$B$13:$K$13,1,COLUMNS('Исходные кривые'!$B$13:$K$13)),INDEX('Исходные кривые'!$B$13:$K$13,1,MATCH(G27,'Исходные кривые'!$B$12:$K$12,1))+(G27-INDEX('Исходные кривые'!$B$12:$K$12,1,MATCH(G27,'Исходные кривые'!$B$12:$K$12,1)))*(INDEX('Исходные кривые'!$B$13:$K$13,1,MATCH(G27,'Исходные кривые'!$B$12:$K$12,1)+1)-INDEX('Исходные кривые'!$B$13:$K$13,1,MATCH(G27,'Исходные кривые'!$B$12:$K$12,1)))/(INDEX('Исходные кривые'!$B$12:$K$12,1,MATCH(G27,'Исходные кривые'!$B$12:$K$12,1)+1)-INDEX('Исходные кривые'!$B$12:$K$12,1,MATCH(G27,'Исходные кривые'!$B$12:$K$12,1)))))</x:f>
        <x:v>46.47123287671233</x:v>
      </x:c>
      <x:c r="K27" s="165" t="n">
        <x:f>IF(G27&lt;=MIN('Исходные кривые'!$B$12:$K$12),INDEX('Исходные кривые'!$B$14:$K$14,1,1),IF(G27&gt;=MAX('Исходные кривые'!$B$12:$K$12),INDEX('Исходные кривые'!$B$14:$K$14,1,COLUMNS('Исходные кривые'!$B$14:$K$14)),INDEX('Исходные кривые'!$B$14:$K$14,1,MATCH(G27,'Исходные кривые'!$B$12:$K$12,1))+(G27-INDEX('Исходные кривые'!$B$12:$K$12,1,MATCH(G27,'Исходные кривые'!$B$12:$K$12,1)))*(INDEX('Исходные кривые'!$B$14:$K$14,1,MATCH(G27,'Исходные кривые'!$B$12:$K$12,1)+1)-INDEX('Исходные кривые'!$B$14:$K$14,1,MATCH(G27,'Исходные кривые'!$B$12:$K$12,1)))/(INDEX('Исходные кривые'!$B$12:$K$12,1,MATCH(G27,'Исходные кривые'!$B$12:$K$12,1)+1)-INDEX('Исходные кривые'!$B$12:$K$12,1,MATCH(G27,'Исходные кривые'!$B$12:$K$12,1)))))</x:f>
        <x:v>-26.745205479452054</x:v>
      </x:c>
      <x:c r="L27" s="165" t="n">
        <x:f>IF(G27&lt;=MIN('Исходные кривые'!$B$17:$L$17),INDEX('Исходные кривые'!$B$18:$L$18,1,1),IF(G27&gt;=MAX('Исходные кривые'!$B$17:$L$17),INDEX('Исходные кривые'!$B$18:$L$18,1,COLUMNS('Исходные кривые'!$B$18:$L$18)),INDEX('Исходные кривые'!$B$18:$L$18,1,MATCH(G27,'Исходные кривые'!$B$17:$L$17,1))+(G27-INDEX('Исходные кривые'!$B$17:$L$17,1,MATCH(G27,'Исходные кривые'!$B$17:$L$17,1)))*(INDEX('Исходные кривые'!$B$18:$L$18,1,MATCH(G27,'Исходные кривые'!$B$17:$L$17,1)+1)-INDEX('Исходные кривые'!$B$18:$L$18,1,MATCH(G27,'Исходные кривые'!$B$17:$L$17,1)))/(INDEX('Исходные кривые'!$B$17:$L$17,1,MATCH(G27,'Исходные кривые'!$B$17:$L$17,1)+1)-INDEX('Исходные кривые'!$B$17:$L$17,1,MATCH(G27,'Исходные кривые'!$B$17:$L$17,1)))))</x:f>
        <x:v>5.4</x:v>
      </x:c>
      <x:c r="M27" s="165" t="n">
        <x:f>IF(G27&lt;=MIN('Исходные кривые'!$B$17:$L$17),INDEX('Исходные кривые'!$B$19:$L$19,1,1),IF(G27&gt;=MAX('Исходные кривые'!$B$17:$L$17),INDEX('Исходные кривые'!$B$19:$L$19,1,COLUMNS('Исходные кривые'!$B$19:$L$19)),INDEX('Исходные кривые'!$B$19:$L$19,1,MATCH(G27,'Исходные кривые'!$B$17:$L$17,1))+(G27-INDEX('Исходные кривые'!$B$17:$L$17,1,MATCH(G27,'Исходные кривые'!$B$17:$L$17,1)))*(INDEX('Исходные кривые'!$B$19:$L$19,1,MATCH(G27,'Исходные кривые'!$B$17:$L$17,1)+1)-INDEX('Исходные кривые'!$B$19:$L$19,1,MATCH(G27,'Исходные кривые'!$B$17:$L$17,1)))/(INDEX('Исходные кривые'!$B$17:$L$17,1,MATCH(G27,'Исходные кривые'!$B$17:$L$17,1)+1)-INDEX('Исходные кривые'!$B$17:$L$17,1,MATCH(G27,'Исходные кривые'!$B$17:$L$17,1)))))</x:f>
        <x:v>-1.9</x:v>
      </x:c>
    </x:row>
    <x:row r="28">
      <x:c r="A28" s="124" t="str">
        <x:v>Своп 1</x:v>
      </x:c>
      <x:c r="B28" s="125" t="n">
        <x:v>46569</x:v>
      </x:c>
      <x:c r="C28" s="125" t="n">
        <x:v>48396</x:v>
      </x:c>
      <x:c r="D28" s="124" t="n">
        <x:v>19</x:v>
      </x:c>
      <x:c r="E28" s="125" t="n">
        <x:v>48305</x:v>
      </x:c>
      <x:c r="F28" s="164" t="n">
        <x:f>E28-'Настройки'!$B$4</x:f>
        <x:v>2102</x:v>
      </x:c>
      <x:c r="G28" s="165" t="n">
        <x:f>F28/'Настройки'!$B$5</x:f>
        <x:v>5.758904109589041</x:v>
      </x:c>
      <x:c r="H28" s="165" t="n">
        <x:f>IF(G28&lt;=MIN('Исходные кривые'!$B$4:$L$4),INDEX('Исходные кривые'!$B$5:$L$5,1,1),IF(G28&gt;=MAX('Исходные кривые'!$B$4:$L$4),INDEX('Исходные кривые'!$B$5:$L$5,1,COLUMNS('Исходные кривые'!$B$5:$L$5)),INDEX('Исходные кривые'!$B$5:$L$5,1,MATCH(G28,'Исходные кривые'!$B$4:$L$4,1))+(G28-INDEX('Исходные кривые'!$B$4:$L$4,1,MATCH(G28,'Исходные кривые'!$B$4:$L$4,1)))*(INDEX('Исходные кривые'!$B$5:$L$5,1,MATCH(G28,'Исходные кривые'!$B$4:$L$4,1)+1)-INDEX('Исходные кривые'!$B$5:$L$5,1,MATCH(G28,'Исходные кривые'!$B$4:$L$4,1)))/(INDEX('Исходные кривые'!$B$4:$L$4,1,MATCH(G28,'Исходные кривые'!$B$4:$L$4,1)+1)-INDEX('Исходные кривые'!$B$4:$L$4,1,MATCH(G28,'Исходные кривые'!$B$4:$L$4,1)))))</x:f>
        <x:v>15.632493150684931</x:v>
      </x:c>
      <x:c r="I28" s="165" t="n">
        <x:f>IF(G28&lt;=MIN('Исходные кривые'!$B$8:$N$8),INDEX('Исходные кривые'!$B$9:$N$9,1,1),IF(G28&gt;=MAX('Исходные кривые'!$B$8:$N$8),INDEX('Исходные кривые'!$B$9:$N$9,1,COLUMNS('Исходные кривые'!$B$9:$N$9)),INDEX('Исходные кривые'!$B$9:$N$9,1,MATCH(G28,'Исходные кривые'!$B$8:$N$8,1))+(G28-INDEX('Исходные кривые'!$B$8:$N$8,1,MATCH(G28,'Исходные кривые'!$B$8:$N$8,1)))*(INDEX('Исходные кривые'!$B$9:$N$9,1,MATCH(G28,'Исходные кривые'!$B$8:$N$8,1)+1)-INDEX('Исходные кривые'!$B$9:$N$9,1,MATCH(G28,'Исходные кривые'!$B$8:$N$8,1)))/(INDEX('Исходные кривые'!$B$8:$N$8,1,MATCH(G28,'Исходные кривые'!$B$8:$N$8,1)+1)-INDEX('Исходные кривые'!$B$8:$N$8,1,MATCH(G28,'Исходные кривые'!$B$8:$N$8,1)))))</x:f>
        <x:v>17.632493150684933</x:v>
      </x:c>
      <x:c r="J28" s="165" t="n">
        <x:f>IF(G28&lt;=MIN('Исходные кривые'!$B$12:$K$12),INDEX('Исходные кривые'!$B$13:$K$13,1,1),IF(G28&gt;=MAX('Исходные кривые'!$B$12:$K$12),INDEX('Исходные кривые'!$B$13:$K$13,1,COLUMNS('Исходные кривые'!$B$13:$K$13)),INDEX('Исходные кривые'!$B$13:$K$13,1,MATCH(G28,'Исходные кривые'!$B$12:$K$12,1))+(G28-INDEX('Исходные кривые'!$B$12:$K$12,1,MATCH(G28,'Исходные кривые'!$B$12:$K$12,1)))*(INDEX('Исходные кривые'!$B$13:$K$13,1,MATCH(G28,'Исходные кривые'!$B$12:$K$12,1)+1)-INDEX('Исходные кривые'!$B$13:$K$13,1,MATCH(G28,'Исходные кривые'!$B$12:$K$12,1)))/(INDEX('Исходные кривые'!$B$12:$K$12,1,MATCH(G28,'Исходные кривые'!$B$12:$K$12,1)+1)-INDEX('Исходные кривые'!$B$12:$K$12,1,MATCH(G28,'Исходные кривые'!$B$12:$K$12,1)))))</x:f>
        <x:v>45.723287671232875</x:v>
      </x:c>
      <x:c r="K28" s="165" t="n">
        <x:f>IF(G28&lt;=MIN('Исходные кривые'!$B$12:$K$12),INDEX('Исходные кривые'!$B$14:$K$14,1,1),IF(G28&gt;=MAX('Исходные кривые'!$B$12:$K$12),INDEX('Исходные кривые'!$B$14:$K$14,1,COLUMNS('Исходные кривые'!$B$14:$K$14)),INDEX('Исходные кривые'!$B$14:$K$14,1,MATCH(G28,'Исходные кривые'!$B$12:$K$12,1))+(G28-INDEX('Исходные кривые'!$B$12:$K$12,1,MATCH(G28,'Исходные кривые'!$B$12:$K$12,1)))*(INDEX('Исходные кривые'!$B$14:$K$14,1,MATCH(G28,'Исходные кривые'!$B$12:$K$12,1)+1)-INDEX('Исходные кривые'!$B$14:$K$14,1,MATCH(G28,'Исходные кривые'!$B$12:$K$12,1)))/(INDEX('Исходные кривые'!$B$12:$K$12,1,MATCH(G28,'Исходные кривые'!$B$12:$K$12,1)+1)-INDEX('Исходные кривые'!$B$12:$K$12,1,MATCH(G28,'Исходные кривые'!$B$12:$K$12,1)))))</x:f>
        <x:v>-26.62054794520548</x:v>
      </x:c>
      <x:c r="L28" s="165" t="n">
        <x:f>IF(G28&lt;=MIN('Исходные кривые'!$B$17:$L$17),INDEX('Исходные кривые'!$B$18:$L$18,1,1),IF(G28&gt;=MAX('Исходные кривые'!$B$17:$L$17),INDEX('Исходные кривые'!$B$18:$L$18,1,COLUMNS('Исходные кривые'!$B$18:$L$18)),INDEX('Исходные кривые'!$B$18:$L$18,1,MATCH(G28,'Исходные кривые'!$B$17:$L$17,1))+(G28-INDEX('Исходные кривые'!$B$17:$L$17,1,MATCH(G28,'Исходные кривые'!$B$17:$L$17,1)))*(INDEX('Исходные кривые'!$B$18:$L$18,1,MATCH(G28,'Исходные кривые'!$B$17:$L$17,1)+1)-INDEX('Исходные кривые'!$B$18:$L$18,1,MATCH(G28,'Исходные кривые'!$B$17:$L$17,1)))/(INDEX('Исходные кривые'!$B$17:$L$17,1,MATCH(G28,'Исходные кривые'!$B$17:$L$17,1)+1)-INDEX('Исходные кривые'!$B$17:$L$17,1,MATCH(G28,'Исходные кривые'!$B$17:$L$17,1)))))</x:f>
        <x:v>5.4</x:v>
      </x:c>
      <x:c r="M28" s="165" t="n">
        <x:f>IF(G28&lt;=MIN('Исходные кривые'!$B$17:$L$17),INDEX('Исходные кривые'!$B$19:$L$19,1,1),IF(G28&gt;=MAX('Исходные кривые'!$B$17:$L$17),INDEX('Исходные кривые'!$B$19:$L$19,1,COLUMNS('Исходные кривые'!$B$19:$L$19)),INDEX('Исходные кривые'!$B$19:$L$19,1,MATCH(G28,'Исходные кривые'!$B$17:$L$17,1))+(G28-INDEX('Исходные кривые'!$B$17:$L$17,1,MATCH(G28,'Исходные кривые'!$B$17:$L$17,1)))*(INDEX('Исходные кривые'!$B$19:$L$19,1,MATCH(G28,'Исходные кривые'!$B$17:$L$17,1)+1)-INDEX('Исходные кривые'!$B$19:$L$19,1,MATCH(G28,'Исходные кривые'!$B$17:$L$17,1)))/(INDEX('Исходные кривые'!$B$17:$L$17,1,MATCH(G28,'Исходные кривые'!$B$17:$L$17,1)+1)-INDEX('Исходные кривые'!$B$17:$L$17,1,MATCH(G28,'Исходные кривые'!$B$17:$L$17,1)))))</x:f>
        <x:v>-1.9</x:v>
      </x:c>
    </x:row>
    <x:row r="29">
      <x:c r="A29" s="124" t="str">
        <x:v>Своп 1</x:v>
      </x:c>
      <x:c r="B29" s="125" t="n">
        <x:v>46569</x:v>
      </x:c>
      <x:c r="C29" s="125" t="n">
        <x:v>48396</x:v>
      </x:c>
      <x:c r="D29" s="124" t="n">
        <x:v>20</x:v>
      </x:c>
      <x:c r="E29" s="125" t="n">
        <x:v>48396</x:v>
      </x:c>
      <x:c r="F29" s="164" t="n">
        <x:f>E29-'Настройки'!$B$4</x:f>
        <x:v>2193</x:v>
      </x:c>
      <x:c r="G29" s="165" t="n">
        <x:f>F29/'Настройки'!$B$5</x:f>
        <x:v>6.008219178082192</x:v>
      </x:c>
      <x:c r="H29" s="165" t="n">
        <x:f>IF(G29&lt;=MIN('Исходные кривые'!$B$4:$L$4),INDEX('Исходные кривые'!$B$5:$L$5,1,1),IF(G29&gt;=MAX('Исходные кривые'!$B$4:$L$4),INDEX('Исходные кривые'!$B$5:$L$5,1,COLUMNS('Исходные кривые'!$B$5:$L$5)),INDEX('Исходные кривые'!$B$5:$L$5,1,MATCH(G29,'Исходные кривые'!$B$4:$L$4,1))+(G29-INDEX('Исходные кривые'!$B$4:$L$4,1,MATCH(G29,'Исходные кривые'!$B$4:$L$4,1)))*(INDEX('Исходные кривые'!$B$5:$L$5,1,MATCH(G29,'Исходные кривые'!$B$4:$L$4,1)+1)-INDEX('Исходные кривые'!$B$5:$L$5,1,MATCH(G29,'Исходные кривые'!$B$4:$L$4,1)))/(INDEX('Исходные кривые'!$B$4:$L$4,1,MATCH(G29,'Исходные кривые'!$B$4:$L$4,1)+1)-INDEX('Исходные кривые'!$B$4:$L$4,1,MATCH(G29,'Исходные кривые'!$B$4:$L$4,1)))))</x:f>
        <x:v>15.702301369863013</x:v>
      </x:c>
      <x:c r="I29" s="165" t="n">
        <x:f>IF(G29&lt;=MIN('Исходные кривые'!$B$8:$N$8),INDEX('Исходные кривые'!$B$9:$N$9,1,1),IF(G29&gt;=MAX('Исходные кривые'!$B$8:$N$8),INDEX('Исходные кривые'!$B$9:$N$9,1,COLUMNS('Исходные кривые'!$B$9:$N$9)),INDEX('Исходные кривые'!$B$9:$N$9,1,MATCH(G29,'Исходные кривые'!$B$8:$N$8,1))+(G29-INDEX('Исходные кривые'!$B$8:$N$8,1,MATCH(G29,'Исходные кривые'!$B$8:$N$8,1)))*(INDEX('Исходные кривые'!$B$9:$N$9,1,MATCH(G29,'Исходные кривые'!$B$8:$N$8,1)+1)-INDEX('Исходные кривые'!$B$9:$N$9,1,MATCH(G29,'Исходные кривые'!$B$8:$N$8,1)))/(INDEX('Исходные кривые'!$B$8:$N$8,1,MATCH(G29,'Исходные кривые'!$B$8:$N$8,1)+1)-INDEX('Исходные кривые'!$B$8:$N$8,1,MATCH(G29,'Исходные кривые'!$B$8:$N$8,1)))))</x:f>
        <x:v>17.702301369863015</x:v>
      </x:c>
      <x:c r="J29" s="165" t="n">
        <x:f>IF(G29&lt;=MIN('Исходные кривые'!$B$12:$K$12),INDEX('Исходные кривые'!$B$13:$K$13,1,1),IF(G29&gt;=MAX('Исходные кривые'!$B$12:$K$12),INDEX('Исходные кривые'!$B$13:$K$13,1,COLUMNS('Исходные кривые'!$B$13:$K$13)),INDEX('Исходные кривые'!$B$13:$K$13,1,MATCH(G29,'Исходные кривые'!$B$12:$K$12,1))+(G29-INDEX('Исходные кривые'!$B$12:$K$12,1,MATCH(G29,'Исходные кривые'!$B$12:$K$12,1)))*(INDEX('Исходные кривые'!$B$13:$K$13,1,MATCH(G29,'Исходные кривые'!$B$12:$K$12,1)+1)-INDEX('Исходные кривые'!$B$13:$K$13,1,MATCH(G29,'Исходные кривые'!$B$12:$K$12,1)))/(INDEX('Исходные кривые'!$B$12:$K$12,1,MATCH(G29,'Исходные кривые'!$B$12:$K$12,1)+1)-INDEX('Исходные кривые'!$B$12:$K$12,1,MATCH(G29,'Исходные кривые'!$B$12:$K$12,1)))))</x:f>
        <x:v>44.97534246575342</x:v>
      </x:c>
      <x:c r="K29" s="165" t="n">
        <x:f>IF(G29&lt;=MIN('Исходные кривые'!$B$12:$K$12),INDEX('Исходные кривые'!$B$14:$K$14,1,1),IF(G29&gt;=MAX('Исходные кривые'!$B$12:$K$12),INDEX('Исходные кривые'!$B$14:$K$14,1,COLUMNS('Исходные кривые'!$B$14:$K$14)),INDEX('Исходные кривые'!$B$14:$K$14,1,MATCH(G29,'Исходные кривые'!$B$12:$K$12,1))+(G29-INDEX('Исходные кривые'!$B$12:$K$12,1,MATCH(G29,'Исходные кривые'!$B$12:$K$12,1)))*(INDEX('Исходные кривые'!$B$14:$K$14,1,MATCH(G29,'Исходные кривые'!$B$12:$K$12,1)+1)-INDEX('Исходные кривые'!$B$14:$K$14,1,MATCH(G29,'Исходные кривые'!$B$12:$K$12,1)))/(INDEX('Исходные кривые'!$B$12:$K$12,1,MATCH(G29,'Исходные кривые'!$B$12:$K$12,1)+1)-INDEX('Исходные кривые'!$B$12:$K$12,1,MATCH(G29,'Исходные кривые'!$B$12:$K$12,1)))))</x:f>
        <x:v>-26.495890410958904</x:v>
      </x:c>
      <x:c r="L29" s="165" t="n">
        <x:f>IF(G29&lt;=MIN('Исходные кривые'!$B$17:$L$17),INDEX('Исходные кривые'!$B$18:$L$18,1,1),IF(G29&gt;=MAX('Исходные кривые'!$B$17:$L$17),INDEX('Исходные кривые'!$B$18:$L$18,1,COLUMNS('Исходные кривые'!$B$18:$L$18)),INDEX('Исходные кривые'!$B$18:$L$18,1,MATCH(G29,'Исходные кривые'!$B$17:$L$17,1))+(G29-INDEX('Исходные кривые'!$B$17:$L$17,1,MATCH(G29,'Исходные кривые'!$B$17:$L$17,1)))*(INDEX('Исходные кривые'!$B$18:$L$18,1,MATCH(G29,'Исходные кривые'!$B$17:$L$17,1)+1)-INDEX('Исходные кривые'!$B$18:$L$18,1,MATCH(G29,'Исходные кривые'!$B$17:$L$17,1)))/(INDEX('Исходные кривые'!$B$17:$L$17,1,MATCH(G29,'Исходные кривые'!$B$17:$L$17,1)+1)-INDEX('Исходные кривые'!$B$17:$L$17,1,MATCH(G29,'Исходные кривые'!$B$17:$L$17,1)))))</x:f>
        <x:v>5.4</x:v>
      </x:c>
      <x:c r="M29" s="165" t="n">
        <x:f>IF(G29&lt;=MIN('Исходные кривые'!$B$17:$L$17),INDEX('Исходные кривые'!$B$19:$L$19,1,1),IF(G29&gt;=MAX('Исходные кривые'!$B$17:$L$17),INDEX('Исходные кривые'!$B$19:$L$19,1,COLUMNS('Исходные кривые'!$B$19:$L$19)),INDEX('Исходные кривые'!$B$19:$L$19,1,MATCH(G29,'Исходные кривые'!$B$17:$L$17,1))+(G29-INDEX('Исходные кривые'!$B$17:$L$17,1,MATCH(G29,'Исходные кривые'!$B$17:$L$17,1)))*(INDEX('Исходные кривые'!$B$19:$L$19,1,MATCH(G29,'Исходные кривые'!$B$17:$L$17,1)+1)-INDEX('Исходные кривые'!$B$19:$L$19,1,MATCH(G29,'Исходные кривые'!$B$17:$L$17,1)))/(INDEX('Исходные кривые'!$B$17:$L$17,1,MATCH(G29,'Исходные кривые'!$B$17:$L$17,1)+1)-INDEX('Исходные кривые'!$B$17:$L$17,1,MATCH(G29,'Исходные кривые'!$B$17:$L$17,1)))))</x:f>
        <x:v>-1.9</x:v>
      </x:c>
    </x:row>
    <x:row r="30">
      <x:c r="A30" s="137" t="str">
        <x:v>Своп 2</x:v>
      </x:c>
      <x:c r="B30" s="138" t="n">
        <x:v>46935</x:v>
      </x:c>
      <x:c r="C30" s="138" t="n">
        <x:v>48761</x:v>
      </x:c>
      <x:c r="D30" s="137" t="n">
        <x:v>1</x:v>
      </x:c>
      <x:c r="E30" s="138" t="n">
        <x:v>47027</x:v>
      </x:c>
      <x:c r="F30" s="166" t="n">
        <x:f>E30-'Настройки'!$B$4</x:f>
        <x:v>824</x:v>
      </x:c>
      <x:c r="G30" s="167" t="n">
        <x:f>F30/'Настройки'!$B$5</x:f>
        <x:v>2.2575342465753425</x:v>
      </x:c>
      <x:c r="H30" s="167" t="n">
        <x:f>IF(G30&lt;=MIN('Исходные кривые'!$B$4:$L$4),INDEX('Исходные кривые'!$B$5:$L$5,1,1),IF(G30&gt;=MAX('Исходные кривые'!$B$4:$L$4),INDEX('Исходные кривые'!$B$5:$L$5,1,COLUMNS('Исходные кривые'!$B$5:$L$5)),INDEX('Исходные кривые'!$B$5:$L$5,1,MATCH(G30,'Исходные кривые'!$B$4:$L$4,1))+(G30-INDEX('Исходные кривые'!$B$4:$L$4,1,MATCH(G30,'Исходные кривые'!$B$4:$L$4,1)))*(INDEX('Исходные кривые'!$B$5:$L$5,1,MATCH(G30,'Исходные кривые'!$B$4:$L$4,1)+1)-INDEX('Исходные кривые'!$B$5:$L$5,1,MATCH(G30,'Исходные кривые'!$B$4:$L$4,1)))/(INDEX('Исходные кривые'!$B$4:$L$4,1,MATCH(G30,'Исходные кривые'!$B$4:$L$4,1)+1)-INDEX('Исходные кривые'!$B$4:$L$4,1,MATCH(G30,'Исходные кривые'!$B$4:$L$4,1)))))</x:f>
        <x:v>14.024520547945205</x:v>
      </x:c>
      <x:c r="I30" s="167" t="n">
        <x:f>IF(G30&lt;=MIN('Исходные кривые'!$B$8:$N$8),INDEX('Исходные кривые'!$B$9:$N$9,1,1),IF(G30&gt;=MAX('Исходные кривые'!$B$8:$N$8),INDEX('Исходные кривые'!$B$9:$N$9,1,COLUMNS('Исходные кривые'!$B$9:$N$9)),INDEX('Исходные кривые'!$B$9:$N$9,1,MATCH(G30,'Исходные кривые'!$B$8:$N$8,1))+(G30-INDEX('Исходные кривые'!$B$8:$N$8,1,MATCH(G30,'Исходные кривые'!$B$8:$N$8,1)))*(INDEX('Исходные кривые'!$B$9:$N$9,1,MATCH(G30,'Исходные кривые'!$B$8:$N$8,1)+1)-INDEX('Исходные кривые'!$B$9:$N$9,1,MATCH(G30,'Исходные кривые'!$B$8:$N$8,1)))/(INDEX('Исходные кривые'!$B$8:$N$8,1,MATCH(G30,'Исходные кривые'!$B$8:$N$8,1)+1)-INDEX('Исходные кривые'!$B$8:$N$8,1,MATCH(G30,'Исходные кривые'!$B$8:$N$8,1)))))</x:f>
        <x:v>16.024520547945205</x:v>
      </x:c>
      <x:c r="J30" s="167" t="n">
        <x:f>IF(G30&lt;=MIN('Исходные кривые'!$B$12:$K$12),INDEX('Исходные кривые'!$B$13:$K$13,1,1),IF(G30&gt;=MAX('Исходные кривые'!$B$12:$K$12),INDEX('Исходные кривые'!$B$13:$K$13,1,COLUMNS('Исходные кривые'!$B$13:$K$13)),INDEX('Исходные кривые'!$B$13:$K$13,1,MATCH(G30,'Исходные кривые'!$B$12:$K$12,1))+(G30-INDEX('Исходные кривые'!$B$12:$K$12,1,MATCH(G30,'Исходные кривые'!$B$12:$K$12,1)))*(INDEX('Исходные кривые'!$B$13:$K$13,1,MATCH(G30,'Исходные кривые'!$B$12:$K$12,1)+1)-INDEX('Исходные кривые'!$B$13:$K$13,1,MATCH(G30,'Исходные кривые'!$B$12:$K$12,1)))/(INDEX('Исходные кривые'!$B$12:$K$12,1,MATCH(G30,'Исходные кривые'!$B$12:$K$12,1)+1)-INDEX('Исходные кривые'!$B$12:$K$12,1,MATCH(G30,'Исходные кривые'!$B$12:$K$12,1)))))</x:f>
        <x:v>54.74246575342466</x:v>
      </x:c>
      <x:c r="K30" s="167" t="n">
        <x:f>IF(G30&lt;=MIN('Исходные кривые'!$B$12:$K$12),INDEX('Исходные кривые'!$B$14:$K$14,1,1),IF(G30&gt;=MAX('Исходные кривые'!$B$12:$K$12),INDEX('Исходные кривые'!$B$14:$K$14,1,COLUMNS('Исходные кривые'!$B$14:$K$14)),INDEX('Исходные кривые'!$B$14:$K$14,1,MATCH(G30,'Исходные кривые'!$B$12:$K$12,1))+(G30-INDEX('Исходные кривые'!$B$12:$K$12,1,MATCH(G30,'Исходные кривые'!$B$12:$K$12,1)))*(INDEX('Исходные кривые'!$B$14:$K$14,1,MATCH(G30,'Исходные кривые'!$B$12:$K$12,1)+1)-INDEX('Исходные кривые'!$B$14:$K$14,1,MATCH(G30,'Исходные кривые'!$B$12:$K$12,1)))/(INDEX('Исходные кривые'!$B$12:$K$12,1,MATCH(G30,'Исходные кривые'!$B$12:$K$12,1)+1)-INDEX('Исходные кривые'!$B$12:$K$12,1,MATCH(G30,'Исходные кривые'!$B$12:$K$12,1)))))</x:f>
        <x:v>-28.742465753424657</x:v>
      </x:c>
      <x:c r="L30" s="167" t="n">
        <x:f>IF(G30&lt;=MIN('Исходные кривые'!$B$17:$L$17),INDEX('Исходные кривые'!$B$18:$L$18,1,1),IF(G30&gt;=MAX('Исходные кривые'!$B$17:$L$17),INDEX('Исходные кривые'!$B$18:$L$18,1,COLUMNS('Исходные кривые'!$B$18:$L$18)),INDEX('Исходные кривые'!$B$18:$L$18,1,MATCH(G30,'Исходные кривые'!$B$17:$L$17,1))+(G30-INDEX('Исходные кривые'!$B$17:$L$17,1,MATCH(G30,'Исходные кривые'!$B$17:$L$17,1)))*(INDEX('Исходные кривые'!$B$18:$L$18,1,MATCH(G30,'Исходные кривые'!$B$17:$L$17,1)+1)-INDEX('Исходные кривые'!$B$18:$L$18,1,MATCH(G30,'Исходные кривые'!$B$17:$L$17,1)))/(INDEX('Исходные кривые'!$B$17:$L$17,1,MATCH(G30,'Исходные кривые'!$B$17:$L$17,1)+1)-INDEX('Исходные кривые'!$B$17:$L$17,1,MATCH(G30,'Исходные кривые'!$B$17:$L$17,1)))))</x:f>
        <x:v>7.031095890410959</x:v>
      </x:c>
      <x:c r="M30" s="167" t="n">
        <x:f>IF(G30&lt;=MIN('Исходные кривые'!$B$17:$L$17),INDEX('Исходные кривые'!$B$19:$L$19,1,1),IF(G30&gt;=MAX('Исходные кривые'!$B$17:$L$17),INDEX('Исходные кривые'!$B$19:$L$19,1,COLUMNS('Исходные кривые'!$B$19:$L$19)),INDEX('Исходные кривые'!$B$19:$L$19,1,MATCH(G30,'Исходные кривые'!$B$17:$L$17,1))+(G30-INDEX('Исходные кривые'!$B$17:$L$17,1,MATCH(G30,'Исходные кривые'!$B$17:$L$17,1)))*(INDEX('Исходные кривые'!$B$19:$L$19,1,MATCH(G30,'Исходные кривые'!$B$17:$L$17,1)+1)-INDEX('Исходные кривые'!$B$19:$L$19,1,MATCH(G30,'Исходные кривые'!$B$17:$L$17,1)))/(INDEX('Исходные кривые'!$B$17:$L$17,1,MATCH(G30,'Исходные кривые'!$B$17:$L$17,1)+1)-INDEX('Исходные кривые'!$B$17:$L$17,1,MATCH(G30,'Исходные кривые'!$B$17:$L$17,1)))))</x:f>
        <x:v>-4.42958904109589</x:v>
      </x:c>
    </x:row>
    <x:row r="31">
      <x:c r="A31" s="86" t="str">
        <x:v>Своп 2</x:v>
      </x:c>
      <x:c r="B31" s="127" t="n">
        <x:v>46935</x:v>
      </x:c>
      <x:c r="C31" s="127" t="n">
        <x:v>48761</x:v>
      </x:c>
      <x:c r="D31" s="86" t="n">
        <x:v>2</x:v>
      </x:c>
      <x:c r="E31" s="127" t="n">
        <x:v>47119</x:v>
      </x:c>
      <x:c r="F31" s="168" t="n">
        <x:f>E31-'Настройки'!$B$4</x:f>
        <x:v>916</x:v>
      </x:c>
      <x:c r="G31" s="169" t="n">
        <x:f>F31/'Настройки'!$B$5</x:f>
        <x:v>2.5095890410958903</x:v>
      </x:c>
      <x:c r="H31" s="169" t="n">
        <x:f>IF(G31&lt;=MIN('Исходные кривые'!$B$4:$L$4),INDEX('Исходные кривые'!$B$5:$L$5,1,1),IF(G31&gt;=MAX('Исходные кривые'!$B$4:$L$4),INDEX('Исходные кривые'!$B$5:$L$5,1,COLUMNS('Исходные кривые'!$B$5:$L$5)),INDEX('Исходные кривые'!$B$5:$L$5,1,MATCH(G31,'Исходные кривые'!$B$4:$L$4,1))+(G31-INDEX('Исходные кривые'!$B$4:$L$4,1,MATCH(G31,'Исходные кривые'!$B$4:$L$4,1)))*(INDEX('Исходные кривые'!$B$5:$L$5,1,MATCH(G31,'Исходные кривые'!$B$4:$L$4,1)+1)-INDEX('Исходные кривые'!$B$5:$L$5,1,MATCH(G31,'Исходные кривые'!$B$4:$L$4,1)))/(INDEX('Исходные кривые'!$B$4:$L$4,1,MATCH(G31,'Исходные кривые'!$B$4:$L$4,1)+1)-INDEX('Исходные кривые'!$B$4:$L$4,1,MATCH(G31,'Исходные кривые'!$B$4:$L$4,1)))))</x:f>
        <x:v>14.175753424657534</x:v>
      </x:c>
      <x:c r="I31" s="169" t="n">
        <x:f>IF(G31&lt;=MIN('Исходные кривые'!$B$8:$N$8),INDEX('Исходные кривые'!$B$9:$N$9,1,1),IF(G31&gt;=MAX('Исходные кривые'!$B$8:$N$8),INDEX('Исходные кривые'!$B$9:$N$9,1,COLUMNS('Исходные кривые'!$B$9:$N$9)),INDEX('Исходные кривые'!$B$9:$N$9,1,MATCH(G31,'Исходные кривые'!$B$8:$N$8,1))+(G31-INDEX('Исходные кривые'!$B$8:$N$8,1,MATCH(G31,'Исходные кривые'!$B$8:$N$8,1)))*(INDEX('Исходные кривые'!$B$9:$N$9,1,MATCH(G31,'Исходные кривые'!$B$8:$N$8,1)+1)-INDEX('Исходные кривые'!$B$9:$N$9,1,MATCH(G31,'Исходные кривые'!$B$8:$N$8,1)))/(INDEX('Исходные кривые'!$B$8:$N$8,1,MATCH(G31,'Исходные кривые'!$B$8:$N$8,1)+1)-INDEX('Исходные кривые'!$B$8:$N$8,1,MATCH(G31,'Исходные кривые'!$B$8:$N$8,1)))))</x:f>
        <x:v>16.175753424657533</x:v>
      </x:c>
      <x:c r="J31" s="169" t="n">
        <x:f>IF(G31&lt;=MIN('Исходные кривые'!$B$12:$K$12),INDEX('Исходные кривые'!$B$13:$K$13,1,1),IF(G31&gt;=MAX('Исходные кривые'!$B$12:$K$12),INDEX('Исходные кривые'!$B$13:$K$13,1,COLUMNS('Исходные кривые'!$B$13:$K$13)),INDEX('Исходные кривые'!$B$13:$K$13,1,MATCH(G31,'Исходные кривые'!$B$12:$K$12,1))+(G31-INDEX('Исходные кривые'!$B$12:$K$12,1,MATCH(G31,'Исходные кривые'!$B$12:$K$12,1)))*(INDEX('Исходные кривые'!$B$13:$K$13,1,MATCH(G31,'Исходные кривые'!$B$12:$K$12,1)+1)-INDEX('Исходные кривые'!$B$13:$K$13,1,MATCH(G31,'Исходные кривые'!$B$12:$K$12,1)))/(INDEX('Исходные кривые'!$B$12:$K$12,1,MATCH(G31,'Исходные кривые'!$B$12:$K$12,1)+1)-INDEX('Исходные кривые'!$B$12:$K$12,1,MATCH(G31,'Исходные кривые'!$B$12:$K$12,1)))))</x:f>
        <x:v>54.49041095890411</x:v>
      </x:c>
      <x:c r="K31" s="169" t="n">
        <x:f>IF(G31&lt;=MIN('Исходные кривые'!$B$12:$K$12),INDEX('Исходные кривые'!$B$14:$K$14,1,1),IF(G31&gt;=MAX('Исходные кривые'!$B$12:$K$12),INDEX('Исходные кривые'!$B$14:$K$14,1,COLUMNS('Исходные кривые'!$B$14:$K$14)),INDEX('Исходные кривые'!$B$14:$K$14,1,MATCH(G31,'Исходные кривые'!$B$12:$K$12,1))+(G31-INDEX('Исходные кривые'!$B$12:$K$12,1,MATCH(G31,'Исходные кривые'!$B$12:$K$12,1)))*(INDEX('Исходные кривые'!$B$14:$K$14,1,MATCH(G31,'Исходные кривые'!$B$12:$K$12,1)+1)-INDEX('Исходные кривые'!$B$14:$K$14,1,MATCH(G31,'Исходные кривые'!$B$12:$K$12,1)))/(INDEX('Исходные кривые'!$B$12:$K$12,1,MATCH(G31,'Исходные кривые'!$B$12:$K$12,1)+1)-INDEX('Исходные кривые'!$B$12:$K$12,1,MATCH(G31,'Исходные кривые'!$B$12:$K$12,1)))))</x:f>
        <x:v>-28.49041095890411</x:v>
      </x:c>
      <x:c r="L31" s="169" t="n">
        <x:f>IF(G31&lt;=MIN('Исходные кривые'!$B$17:$L$17),INDEX('Исходные кривые'!$B$18:$L$18,1,1),IF(G31&gt;=MAX('Исходные кривые'!$B$17:$L$17),INDEX('Исходные кривые'!$B$18:$L$18,1,COLUMNS('Исходные кривые'!$B$18:$L$18)),INDEX('Исходные кривые'!$B$18:$L$18,1,MATCH(G31,'Исходные кривые'!$B$17:$L$17,1))+(G31-INDEX('Исходные кривые'!$B$17:$L$17,1,MATCH(G31,'Исходные кривые'!$B$17:$L$17,1)))*(INDEX('Исходные кривые'!$B$18:$L$18,1,MATCH(G31,'Исходные кривые'!$B$17:$L$17,1)+1)-INDEX('Исходные кривые'!$B$18:$L$18,1,MATCH(G31,'Исходные кривые'!$B$17:$L$17,1)))/(INDEX('Исходные кривые'!$B$17:$L$17,1,MATCH(G31,'Исходные кривые'!$B$17:$L$17,1)+1)-INDEX('Исходные кривые'!$B$17:$L$17,1,MATCH(G31,'Исходные кривые'!$B$17:$L$17,1)))))</x:f>
        <x:v>6.8168493150684935</x:v>
      </x:c>
      <x:c r="M31" s="169" t="n">
        <x:f>IF(G31&lt;=MIN('Исходные кривые'!$B$17:$L$17),INDEX('Исходные кривые'!$B$19:$L$19,1,1),IF(G31&gt;=MAX('Исходные кривые'!$B$17:$L$17),INDEX('Исходные кривые'!$B$19:$L$19,1,COLUMNS('Исходные кривые'!$B$19:$L$19)),INDEX('Исходные кривые'!$B$19:$L$19,1,MATCH(G31,'Исходные кривые'!$B$17:$L$17,1))+(G31-INDEX('Исходные кривые'!$B$17:$L$17,1,MATCH(G31,'Исходные кривые'!$B$17:$L$17,1)))*(INDEX('Исходные кривые'!$B$19:$L$19,1,MATCH(G31,'Исходные кривые'!$B$17:$L$17,1)+1)-INDEX('Исходные кривые'!$B$19:$L$19,1,MATCH(G31,'Исходные кривые'!$B$17:$L$17,1)))/(INDEX('Исходные кривые'!$B$17:$L$17,1,MATCH(G31,'Исходные кривые'!$B$17:$L$17,1)+1)-INDEX('Исходные кривые'!$B$17:$L$17,1,MATCH(G31,'Исходные кривые'!$B$17:$L$17,1)))))</x:f>
        <x:v>-4.164931506849316</x:v>
      </x:c>
    </x:row>
    <x:row r="32">
      <x:c r="A32" s="86" t="str">
        <x:v>Своп 2</x:v>
      </x:c>
      <x:c r="B32" s="127" t="n">
        <x:v>46935</x:v>
      </x:c>
      <x:c r="C32" s="127" t="n">
        <x:v>48761</x:v>
      </x:c>
      <x:c r="D32" s="86" t="n">
        <x:v>3</x:v>
      </x:c>
      <x:c r="E32" s="127" t="n">
        <x:v>47209</x:v>
      </x:c>
      <x:c r="F32" s="168" t="n">
        <x:f>E32-'Настройки'!$B$4</x:f>
        <x:v>1006</x:v>
      </x:c>
      <x:c r="G32" s="169" t="n">
        <x:f>F32/'Настройки'!$B$5</x:f>
        <x:v>2.756164383561644</x:v>
      </x:c>
      <x:c r="H32" s="169" t="n">
        <x:f>IF(G32&lt;=MIN('Исходные кривые'!$B$4:$L$4),INDEX('Исходные кривые'!$B$5:$L$5,1,1),IF(G32&gt;=MAX('Исходные кривые'!$B$4:$L$4),INDEX('Исходные кривые'!$B$5:$L$5,1,COLUMNS('Исходные кривые'!$B$5:$L$5)),INDEX('Исходные кривые'!$B$5:$L$5,1,MATCH(G32,'Исходные кривые'!$B$4:$L$4,1))+(G32-INDEX('Исходные кривые'!$B$4:$L$4,1,MATCH(G32,'Исходные кривые'!$B$4:$L$4,1)))*(INDEX('Исходные кривые'!$B$5:$L$5,1,MATCH(G32,'Исходные кривые'!$B$4:$L$4,1)+1)-INDEX('Исходные кривые'!$B$5:$L$5,1,MATCH(G32,'Исходные кривые'!$B$4:$L$4,1)))/(INDEX('Исходные кривые'!$B$4:$L$4,1,MATCH(G32,'Исходные кривые'!$B$4:$L$4,1)+1)-INDEX('Исходные кривые'!$B$4:$L$4,1,MATCH(G32,'Исходные кривые'!$B$4:$L$4,1)))))</x:f>
        <x:v>14.323698630136986</x:v>
      </x:c>
      <x:c r="I32" s="169" t="n">
        <x:f>IF(G32&lt;=MIN('Исходные кривые'!$B$8:$N$8),INDEX('Исходные кривые'!$B$9:$N$9,1,1),IF(G32&gt;=MAX('Исходные кривые'!$B$8:$N$8),INDEX('Исходные кривые'!$B$9:$N$9,1,COLUMNS('Исходные кривые'!$B$9:$N$9)),INDEX('Исходные кривые'!$B$9:$N$9,1,MATCH(G32,'Исходные кривые'!$B$8:$N$8,1))+(G32-INDEX('Исходные кривые'!$B$8:$N$8,1,MATCH(G32,'Исходные кривые'!$B$8:$N$8,1)))*(INDEX('Исходные кривые'!$B$9:$N$9,1,MATCH(G32,'Исходные кривые'!$B$8:$N$8,1)+1)-INDEX('Исходные кривые'!$B$9:$N$9,1,MATCH(G32,'Исходные кривые'!$B$8:$N$8,1)))/(INDEX('Исходные кривые'!$B$8:$N$8,1,MATCH(G32,'Исходные кривые'!$B$8:$N$8,1)+1)-INDEX('Исходные кривые'!$B$8:$N$8,1,MATCH(G32,'Исходные кривые'!$B$8:$N$8,1)))))</x:f>
        <x:v>16.323698630136985</x:v>
      </x:c>
      <x:c r="J32" s="169" t="n">
        <x:f>IF(G32&lt;=MIN('Исходные кривые'!$B$12:$K$12),INDEX('Исходные кривые'!$B$13:$K$13,1,1),IF(G32&gt;=MAX('Исходные кривые'!$B$12:$K$12),INDEX('Исходные кривые'!$B$13:$K$13,1,COLUMNS('Исходные кривые'!$B$13:$K$13)),INDEX('Исходные кривые'!$B$13:$K$13,1,MATCH(G32,'Исходные кривые'!$B$12:$K$12,1))+(G32-INDEX('Исходные кривые'!$B$12:$K$12,1,MATCH(G32,'Исходные кривые'!$B$12:$K$12,1)))*(INDEX('Исходные кривые'!$B$13:$K$13,1,MATCH(G32,'Исходные кривые'!$B$12:$K$12,1)+1)-INDEX('Исходные кривые'!$B$13:$K$13,1,MATCH(G32,'Исходные кривые'!$B$12:$K$12,1)))/(INDEX('Исходные кривые'!$B$12:$K$12,1,MATCH(G32,'Исходные кривые'!$B$12:$K$12,1)+1)-INDEX('Исходные кривые'!$B$12:$K$12,1,MATCH(G32,'Исходные кривые'!$B$12:$K$12,1)))))</x:f>
        <x:v>54.24383561643835</x:v>
      </x:c>
      <x:c r="K32" s="169" t="n">
        <x:f>IF(G32&lt;=MIN('Исходные кривые'!$B$12:$K$12),INDEX('Исходные кривые'!$B$14:$K$14,1,1),IF(G32&gt;=MAX('Исходные кривые'!$B$12:$K$12),INDEX('Исходные кривые'!$B$14:$K$14,1,COLUMNS('Исходные кривые'!$B$14:$K$14)),INDEX('Исходные кривые'!$B$14:$K$14,1,MATCH(G32,'Исходные кривые'!$B$12:$K$12,1))+(G32-INDEX('Исходные кривые'!$B$12:$K$12,1,MATCH(G32,'Исходные кривые'!$B$12:$K$12,1)))*(INDEX('Исходные кривые'!$B$14:$K$14,1,MATCH(G32,'Исходные кривые'!$B$12:$K$12,1)+1)-INDEX('Исходные кривые'!$B$14:$K$14,1,MATCH(G32,'Исходные кривые'!$B$12:$K$12,1)))/(INDEX('Исходные кривые'!$B$12:$K$12,1,MATCH(G32,'Исходные кривые'!$B$12:$K$12,1)+1)-INDEX('Исходные кривые'!$B$12:$K$12,1,MATCH(G32,'Исходные кривые'!$B$12:$K$12,1)))))</x:f>
        <x:v>-28.243835616438357</x:v>
      </x:c>
      <x:c r="L32" s="169" t="n">
        <x:f>IF(G32&lt;=MIN('Исходные кривые'!$B$17:$L$17),INDEX('Исходные кривые'!$B$18:$L$18,1,1),IF(G32&gt;=MAX('Исходные кривые'!$B$17:$L$17),INDEX('Исходные кривые'!$B$18:$L$18,1,COLUMNS('Исходные кривые'!$B$18:$L$18)),INDEX('Исходные кривые'!$B$18:$L$18,1,MATCH(G32,'Исходные кривые'!$B$17:$L$17,1))+(G32-INDEX('Исходные кривые'!$B$17:$L$17,1,MATCH(G32,'Исходные кривые'!$B$17:$L$17,1)))*(INDEX('Исходные кривые'!$B$18:$L$18,1,MATCH(G32,'Исходные кривые'!$B$17:$L$17,1)+1)-INDEX('Исходные кривые'!$B$18:$L$18,1,MATCH(G32,'Исходные кривые'!$B$17:$L$17,1)))/(INDEX('Исходные кривые'!$B$17:$L$17,1,MATCH(G32,'Исходные кривые'!$B$17:$L$17,1)+1)-INDEX('Исходные кривые'!$B$17:$L$17,1,MATCH(G32,'Исходные кривые'!$B$17:$L$17,1)))))</x:f>
        <x:v>6.607260273972603</x:v>
      </x:c>
      <x:c r="M32" s="169" t="n">
        <x:f>IF(G32&lt;=MIN('Исходные кривые'!$B$17:$L$17),INDEX('Исходные кривые'!$B$19:$L$19,1,1),IF(G32&gt;=MAX('Исходные кривые'!$B$17:$L$17),INDEX('Исходные кривые'!$B$19:$L$19,1,COLUMNS('Исходные кривые'!$B$19:$L$19)),INDEX('Исходные кривые'!$B$19:$L$19,1,MATCH(G32,'Исходные кривые'!$B$17:$L$17,1))+(G32-INDEX('Исходные кривые'!$B$17:$L$17,1,MATCH(G32,'Исходные кривые'!$B$17:$L$17,1)))*(INDEX('Исходные кривые'!$B$19:$L$19,1,MATCH(G32,'Исходные кривые'!$B$17:$L$17,1)+1)-INDEX('Исходные кривые'!$B$19:$L$19,1,MATCH(G32,'Исходные кривые'!$B$17:$L$17,1)))/(INDEX('Исходные кривые'!$B$17:$L$17,1,MATCH(G32,'Исходные кривые'!$B$17:$L$17,1)+1)-INDEX('Исходные кривые'!$B$17:$L$17,1,MATCH(G32,'Исходные кривые'!$B$17:$L$17,1)))))</x:f>
        <x:v>-3.906027397260274</x:v>
      </x:c>
    </x:row>
    <x:row r="33">
      <x:c r="A33" s="86" t="str">
        <x:v>Своп 2</x:v>
      </x:c>
      <x:c r="B33" s="127" t="n">
        <x:v>46935</x:v>
      </x:c>
      <x:c r="C33" s="127" t="n">
        <x:v>48761</x:v>
      </x:c>
      <x:c r="D33" s="86" t="n">
        <x:v>4</x:v>
      </x:c>
      <x:c r="E33" s="127" t="n">
        <x:v>47300</x:v>
      </x:c>
      <x:c r="F33" s="168" t="n">
        <x:f>E33-'Настройки'!$B$4</x:f>
        <x:v>1097</x:v>
      </x:c>
      <x:c r="G33" s="169" t="n">
        <x:f>F33/'Настройки'!$B$5</x:f>
        <x:v>3.0054794520547947</x:v>
      </x:c>
      <x:c r="H33" s="169" t="n">
        <x:f>IF(G33&lt;=MIN('Исходные кривые'!$B$4:$L$4),INDEX('Исходные кривые'!$B$5:$L$5,1,1),IF(G33&gt;=MAX('Исходные кривые'!$B$4:$L$4),INDEX('Исходные кривые'!$B$5:$L$5,1,COLUMNS('Исходные кривые'!$B$5:$L$5)),INDEX('Исходные кривые'!$B$5:$L$5,1,MATCH(G33,'Исходные кривые'!$B$4:$L$4,1))+(G33-INDEX('Исходные кривые'!$B$4:$L$4,1,MATCH(G33,'Исходные кривые'!$B$4:$L$4,1)))*(INDEX('Исходные кривые'!$B$5:$L$5,1,MATCH(G33,'Исходные кривые'!$B$4:$L$4,1)+1)-INDEX('Исходные кривые'!$B$5:$L$5,1,MATCH(G33,'Исходные кривые'!$B$4:$L$4,1)))/(INDEX('Исходные кривые'!$B$4:$L$4,1,MATCH(G33,'Исходные кривые'!$B$4:$L$4,1)+1)-INDEX('Исходные кривые'!$B$4:$L$4,1,MATCH(G33,'Исходные кривые'!$B$4:$L$4,1)))))</x:f>
        <x:v>14.472602739726028</x:v>
      </x:c>
      <x:c r="I33" s="169" t="n">
        <x:f>IF(G33&lt;=MIN('Исходные кривые'!$B$8:$N$8),INDEX('Исходные кривые'!$B$9:$N$9,1,1),IF(G33&gt;=MAX('Исходные кривые'!$B$8:$N$8),INDEX('Исходные кривые'!$B$9:$N$9,1,COLUMNS('Исходные кривые'!$B$9:$N$9)),INDEX('Исходные кривые'!$B$9:$N$9,1,MATCH(G33,'Исходные кривые'!$B$8:$N$8,1))+(G33-INDEX('Исходные кривые'!$B$8:$N$8,1,MATCH(G33,'Исходные кривые'!$B$8:$N$8,1)))*(INDEX('Исходные кривые'!$B$9:$N$9,1,MATCH(G33,'Исходные кривые'!$B$8:$N$8,1)+1)-INDEX('Исходные кривые'!$B$9:$N$9,1,MATCH(G33,'Исходные кривые'!$B$8:$N$8,1)))/(INDEX('Исходные кривые'!$B$8:$N$8,1,MATCH(G33,'Исходные кривые'!$B$8:$N$8,1)+1)-INDEX('Исходные кривые'!$B$8:$N$8,1,MATCH(G33,'Исходные кривые'!$B$8:$N$8,1)))))</x:f>
        <x:v>16.472602739726025</x:v>
      </x:c>
      <x:c r="J33" s="169" t="n">
        <x:f>IF(G33&lt;=MIN('Исходные кривые'!$B$12:$K$12),INDEX('Исходные кривые'!$B$13:$K$13,1,1),IF(G33&gt;=MAX('Исходные кривые'!$B$12:$K$12),INDEX('Исходные кривые'!$B$13:$K$13,1,COLUMNS('Исходные кривые'!$B$13:$K$13)),INDEX('Исходные кривые'!$B$13:$K$13,1,MATCH(G33,'Исходные кривые'!$B$12:$K$12,1))+(G33-INDEX('Исходные кривые'!$B$12:$K$12,1,MATCH(G33,'Исходные кривые'!$B$12:$K$12,1)))*(INDEX('Исходные кривые'!$B$13:$K$13,1,MATCH(G33,'Исходные кривые'!$B$12:$K$12,1)+1)-INDEX('Исходные кривые'!$B$13:$K$13,1,MATCH(G33,'Исходные кривые'!$B$12:$K$12,1)))/(INDEX('Исходные кривые'!$B$12:$K$12,1,MATCH(G33,'Исходные кривые'!$B$12:$K$12,1)+1)-INDEX('Исходные кривые'!$B$12:$K$12,1,MATCH(G33,'Исходные кривые'!$B$12:$K$12,1)))))</x:f>
        <x:v>53.983561643835614</x:v>
      </x:c>
      <x:c r="K33" s="169" t="n">
        <x:f>IF(G33&lt;=MIN('Исходные кривые'!$B$12:$K$12),INDEX('Исходные кривые'!$B$14:$K$14,1,1),IF(G33&gt;=MAX('Исходные кривые'!$B$12:$K$12),INDEX('Исходные кривые'!$B$14:$K$14,1,COLUMNS('Исходные кривые'!$B$14:$K$14)),INDEX('Исходные кривые'!$B$14:$K$14,1,MATCH(G33,'Исходные кривые'!$B$12:$K$12,1))+(G33-INDEX('Исходные кривые'!$B$12:$K$12,1,MATCH(G33,'Исходные кривые'!$B$12:$K$12,1)))*(INDEX('Исходные кривые'!$B$14:$K$14,1,MATCH(G33,'Исходные кривые'!$B$12:$K$12,1)+1)-INDEX('Исходные кривые'!$B$14:$K$14,1,MATCH(G33,'Исходные кривые'!$B$12:$K$12,1)))/(INDEX('Исходные кривые'!$B$12:$K$12,1,MATCH(G33,'Исходные кривые'!$B$12:$K$12,1)+1)-INDEX('Исходные кривые'!$B$12:$K$12,1,MATCH(G33,'Исходные кривые'!$B$12:$K$12,1)))))</x:f>
        <x:v>-27.997260273972604</x:v>
      </x:c>
      <x:c r="L33" s="169" t="n">
        <x:f>IF(G33&lt;=MIN('Исходные кривые'!$B$17:$L$17),INDEX('Исходные кривые'!$B$18:$L$18,1,1),IF(G33&gt;=MAX('Исходные кривые'!$B$17:$L$17),INDEX('Исходные кривые'!$B$18:$L$18,1,COLUMNS('Исходные кривые'!$B$18:$L$18)),INDEX('Исходные кривые'!$B$18:$L$18,1,MATCH(G33,'Исходные кривые'!$B$17:$L$17,1))+(G33-INDEX('Исходные кривые'!$B$17:$L$17,1,MATCH(G33,'Исходные кривые'!$B$17:$L$17,1)))*(INDEX('Исходные кривые'!$B$18:$L$18,1,MATCH(G33,'Исходные кривые'!$B$17:$L$17,1)+1)-INDEX('Исходные кривые'!$B$18:$L$18,1,MATCH(G33,'Исходные кривые'!$B$17:$L$17,1)))/(INDEX('Исходные кривые'!$B$17:$L$17,1,MATCH(G33,'Исходные кривые'!$B$17:$L$17,1)+1)-INDEX('Исходные кривые'!$B$17:$L$17,1,MATCH(G33,'Исходные кривые'!$B$17:$L$17,1)))))</x:f>
        <x:v>6.398630136986302</x:v>
      </x:c>
      <x:c r="M33" s="169" t="n">
        <x:f>IF(G33&lt;=MIN('Исходные кривые'!$B$17:$L$17),INDEX('Исходные кривые'!$B$19:$L$19,1,1),IF(G33&gt;=MAX('Исходные кривые'!$B$17:$L$17),INDEX('Исходные кривые'!$B$19:$L$19,1,COLUMNS('Исходные кривые'!$B$19:$L$19)),INDEX('Исходные кривые'!$B$19:$L$19,1,MATCH(G33,'Исходные кривые'!$B$17:$L$17,1))+(G33-INDEX('Исходные кривые'!$B$17:$L$17,1,MATCH(G33,'Исходные кривые'!$B$17:$L$17,1)))*(INDEX('Исходные кривые'!$B$19:$L$19,1,MATCH(G33,'Исходные кривые'!$B$17:$L$17,1)+1)-INDEX('Исходные кривые'!$B$19:$L$19,1,MATCH(G33,'Исходные кривые'!$B$17:$L$17,1)))/(INDEX('Исходные кривые'!$B$17:$L$17,1,MATCH(G33,'Исходные кривые'!$B$17:$L$17,1)+1)-INDEX('Исходные кривые'!$B$17:$L$17,1,MATCH(G33,'Исходные кривые'!$B$17:$L$17,1)))))</x:f>
        <x:v>-3.6456164383561642</x:v>
      </x:c>
    </x:row>
    <x:row r="34">
      <x:c r="A34" s="86" t="str">
        <x:v>Своп 2</x:v>
      </x:c>
      <x:c r="B34" s="127" t="n">
        <x:v>46935</x:v>
      </x:c>
      <x:c r="C34" s="127" t="n">
        <x:v>48761</x:v>
      </x:c>
      <x:c r="D34" s="86" t="n">
        <x:v>5</x:v>
      </x:c>
      <x:c r="E34" s="127" t="n">
        <x:v>47392</x:v>
      </x:c>
      <x:c r="F34" s="168" t="n">
        <x:f>E34-'Настройки'!$B$4</x:f>
        <x:v>1189</x:v>
      </x:c>
      <x:c r="G34" s="169" t="n">
        <x:f>F34/'Настройки'!$B$5</x:f>
        <x:v>3.2575342465753425</x:v>
      </x:c>
      <x:c r="H34" s="169" t="n">
        <x:f>IF(G34&lt;=MIN('Исходные кривые'!$B$4:$L$4),INDEX('Исходные кривые'!$B$5:$L$5,1,1),IF(G34&gt;=MAX('Исходные кривые'!$B$4:$L$4),INDEX('Исходные кривые'!$B$5:$L$5,1,COLUMNS('Исходные кривые'!$B$5:$L$5)),INDEX('Исходные кривые'!$B$5:$L$5,1,MATCH(G34,'Исходные кривые'!$B$4:$L$4,1))+(G34-INDEX('Исходные кривые'!$B$4:$L$4,1,MATCH(G34,'Исходные кривые'!$B$4:$L$4,1)))*(INDEX('Исходные кривые'!$B$5:$L$5,1,MATCH(G34,'Исходные кривые'!$B$4:$L$4,1)+1)-INDEX('Исходные кривые'!$B$5:$L$5,1,MATCH(G34,'Исходные кривые'!$B$4:$L$4,1)))/(INDEX('Исходные кривые'!$B$4:$L$4,1,MATCH(G34,'Исходные кривые'!$B$4:$L$4,1)+1)-INDEX('Исходные кривые'!$B$4:$L$4,1,MATCH(G34,'Исходные кривые'!$B$4:$L$4,1)))))</x:f>
        <x:v>14.592328767123288</x:v>
      </x:c>
      <x:c r="I34" s="169" t="n">
        <x:f>IF(G34&lt;=MIN('Исходные кривые'!$B$8:$N$8),INDEX('Исходные кривые'!$B$9:$N$9,1,1),IF(G34&gt;=MAX('Исходные кривые'!$B$8:$N$8),INDEX('Исходные кривые'!$B$9:$N$9,1,COLUMNS('Исходные кривые'!$B$9:$N$9)),INDEX('Исходные кривые'!$B$9:$N$9,1,MATCH(G34,'Исходные кривые'!$B$8:$N$8,1))+(G34-INDEX('Исходные кривые'!$B$8:$N$8,1,MATCH(G34,'Исходные кривые'!$B$8:$N$8,1)))*(INDEX('Исходные кривые'!$B$9:$N$9,1,MATCH(G34,'Исходные кривые'!$B$8:$N$8,1)+1)-INDEX('Исходные кривые'!$B$9:$N$9,1,MATCH(G34,'Исходные кривые'!$B$8:$N$8,1)))/(INDEX('Исходные кривые'!$B$8:$N$8,1,MATCH(G34,'Исходные кривые'!$B$8:$N$8,1)+1)-INDEX('Исходные кривые'!$B$8:$N$8,1,MATCH(G34,'Исходные кривые'!$B$8:$N$8,1)))))</x:f>
        <x:v>16.592328767123288</x:v>
      </x:c>
      <x:c r="J34" s="169" t="n">
        <x:f>IF(G34&lt;=MIN('Исходные кривые'!$B$12:$K$12),INDEX('Исходные кривые'!$B$13:$K$13,1,1),IF(G34&gt;=MAX('Исходные кривые'!$B$12:$K$12),INDEX('Исходные кривые'!$B$13:$K$13,1,COLUMNS('Исходные кривые'!$B$13:$K$13)),INDEX('Исходные кривые'!$B$13:$K$13,1,MATCH(G34,'Исходные кривые'!$B$12:$K$12,1))+(G34-INDEX('Исходные кривые'!$B$12:$K$12,1,MATCH(G34,'Исходные кривые'!$B$12:$K$12,1)))*(INDEX('Исходные кривые'!$B$13:$K$13,1,MATCH(G34,'Исходные кривые'!$B$12:$K$12,1)+1)-INDEX('Исходные кривые'!$B$13:$K$13,1,MATCH(G34,'Исходные кривые'!$B$12:$K$12,1)))/(INDEX('Исходные кривые'!$B$12:$K$12,1,MATCH(G34,'Исходные кривые'!$B$12:$K$12,1)+1)-INDEX('Исходные кривые'!$B$12:$K$12,1,MATCH(G34,'Исходные кривые'!$B$12:$K$12,1)))))</x:f>
        <x:v>53.227397260273975</x:v>
      </x:c>
      <x:c r="K34" s="169" t="n">
        <x:f>IF(G34&lt;=MIN('Исходные кривые'!$B$12:$K$12),INDEX('Исходные кривые'!$B$14:$K$14,1,1),IF(G34&gt;=MAX('Исходные кривые'!$B$12:$K$12),INDEX('Исходные кривые'!$B$14:$K$14,1,COLUMNS('Исходные кривые'!$B$14:$K$14)),INDEX('Исходные кривые'!$B$14:$K$14,1,MATCH(G34,'Исходные кривые'!$B$12:$K$12,1))+(G34-INDEX('Исходные кривые'!$B$12:$K$12,1,MATCH(G34,'Исходные кривые'!$B$12:$K$12,1)))*(INDEX('Исходные кривые'!$B$14:$K$14,1,MATCH(G34,'Исходные кривые'!$B$12:$K$12,1)+1)-INDEX('Исходные кривые'!$B$14:$K$14,1,MATCH(G34,'Исходные кривые'!$B$12:$K$12,1)))/(INDEX('Исходные кривые'!$B$12:$K$12,1,MATCH(G34,'Исходные кривые'!$B$12:$K$12,1)+1)-INDEX('Исходные кривые'!$B$12:$K$12,1,MATCH(G34,'Исходные кривые'!$B$12:$K$12,1)))))</x:f>
        <x:v>-27.87123287671233</x:v>
      </x:c>
      <x:c r="L34" s="169" t="n">
        <x:f>IF(G34&lt;=MIN('Исходные кривые'!$B$17:$L$17),INDEX('Исходные кривые'!$B$18:$L$18,1,1),IF(G34&gt;=MAX('Исходные кривые'!$B$17:$L$17),INDEX('Исходные кривые'!$B$18:$L$18,1,COLUMNS('Исходные кривые'!$B$18:$L$18)),INDEX('Исходные кривые'!$B$18:$L$18,1,MATCH(G34,'Исходные кривые'!$B$17:$L$17,1))+(G34-INDEX('Исходные кривые'!$B$17:$L$17,1,MATCH(G34,'Исходные кривые'!$B$17:$L$17,1)))*(INDEX('Исходные кривые'!$B$18:$L$18,1,MATCH(G34,'Исходные кривые'!$B$17:$L$17,1)+1)-INDEX('Исходные кривые'!$B$18:$L$18,1,MATCH(G34,'Исходные кривые'!$B$17:$L$17,1)))/(INDEX('Исходные кривые'!$B$17:$L$17,1,MATCH(G34,'Исходные кривые'!$B$17:$L$17,1)+1)-INDEX('Исходные кривые'!$B$17:$L$17,1,MATCH(G34,'Исходные кривые'!$B$17:$L$17,1)))))</x:f>
        <x:v>6.335616438356165</x:v>
      </x:c>
      <x:c r="M34" s="169" t="n">
        <x:f>IF(G34&lt;=MIN('Исходные кривые'!$B$17:$L$17),INDEX('Исходные кривые'!$B$19:$L$19,1,1),IF(G34&gt;=MAX('Исходные кривые'!$B$17:$L$17),INDEX('Исходные кривые'!$B$19:$L$19,1,COLUMNS('Исходные кривые'!$B$19:$L$19)),INDEX('Исходные кривые'!$B$19:$L$19,1,MATCH(G34,'Исходные кривые'!$B$17:$L$17,1))+(G34-INDEX('Исходные кривые'!$B$17:$L$17,1,MATCH(G34,'Исходные кривые'!$B$17:$L$17,1)))*(INDEX('Исходные кривые'!$B$19:$L$19,1,MATCH(G34,'Исходные кривые'!$B$17:$L$17,1)+1)-INDEX('Исходные кривые'!$B$19:$L$19,1,MATCH(G34,'Исходные кривые'!$B$17:$L$17,1)))/(INDEX('Исходные кривые'!$B$17:$L$17,1,MATCH(G34,'Исходные кривые'!$B$17:$L$17,1)+1)-INDEX('Исходные кривые'!$B$17:$L$17,1,MATCH(G34,'Исходные кривые'!$B$17:$L$17,1)))))</x:f>
        <x:v>-3.443972602739726</x:v>
      </x:c>
    </x:row>
    <x:row r="35">
      <x:c r="A35" s="86" t="str">
        <x:v>Своп 2</x:v>
      </x:c>
      <x:c r="B35" s="127" t="n">
        <x:v>46935</x:v>
      </x:c>
      <x:c r="C35" s="127" t="n">
        <x:v>48761</x:v>
      </x:c>
      <x:c r="D35" s="86" t="n">
        <x:v>6</x:v>
      </x:c>
      <x:c r="E35" s="127" t="n">
        <x:v>47484</x:v>
      </x:c>
      <x:c r="F35" s="168" t="n">
        <x:f>E35-'Настройки'!$B$4</x:f>
        <x:v>1281</x:v>
      </x:c>
      <x:c r="G35" s="169" t="n">
        <x:f>F35/'Настройки'!$B$5</x:f>
        <x:v>3.5095890410958903</x:v>
      </x:c>
      <x:c r="H35" s="169" t="n">
        <x:f>IF(G35&lt;=MIN('Исходные кривые'!$B$4:$L$4),INDEX('Исходные кривые'!$B$5:$L$5,1,1),IF(G35&gt;=MAX('Исходные кривые'!$B$4:$L$4),INDEX('Исходные кривые'!$B$5:$L$5,1,COLUMNS('Исходные кривые'!$B$5:$L$5)),INDEX('Исходные кривые'!$B$5:$L$5,1,MATCH(G35,'Исходные кривые'!$B$4:$L$4,1))+(G35-INDEX('Исходные кривые'!$B$4:$L$4,1,MATCH(G35,'Исходные кривые'!$B$4:$L$4,1)))*(INDEX('Исходные кривые'!$B$5:$L$5,1,MATCH(G35,'Исходные кривые'!$B$4:$L$4,1)+1)-INDEX('Исходные кривые'!$B$5:$L$5,1,MATCH(G35,'Исходные кривые'!$B$4:$L$4,1)))/(INDEX('Исходные кривые'!$B$4:$L$4,1,MATCH(G35,'Исходные кривые'!$B$4:$L$4,1)+1)-INDEX('Исходные кривые'!$B$4:$L$4,1,MATCH(G35,'Исходные кривые'!$B$4:$L$4,1)))))</x:f>
        <x:v>14.712054794520549</x:v>
      </x:c>
      <x:c r="I35" s="169" t="n">
        <x:f>IF(G35&lt;=MIN('Исходные кривые'!$B$8:$N$8),INDEX('Исходные кривые'!$B$9:$N$9,1,1),IF(G35&gt;=MAX('Исходные кривые'!$B$8:$N$8),INDEX('Исходные кривые'!$B$9:$N$9,1,COLUMNS('Исходные кривые'!$B$9:$N$9)),INDEX('Исходные кривые'!$B$9:$N$9,1,MATCH(G35,'Исходные кривые'!$B$8:$N$8,1))+(G35-INDEX('Исходные кривые'!$B$8:$N$8,1,MATCH(G35,'Исходные кривые'!$B$8:$N$8,1)))*(INDEX('Исходные кривые'!$B$9:$N$9,1,MATCH(G35,'Исходные кривые'!$B$8:$N$8,1)+1)-INDEX('Исходные кривые'!$B$9:$N$9,1,MATCH(G35,'Исходные кривые'!$B$8:$N$8,1)))/(INDEX('Исходные кривые'!$B$8:$N$8,1,MATCH(G35,'Исходные кривые'!$B$8:$N$8,1)+1)-INDEX('Исходные кривые'!$B$8:$N$8,1,MATCH(G35,'Исходные кривые'!$B$8:$N$8,1)))))</x:f>
        <x:v>16.712054794520547</x:v>
      </x:c>
      <x:c r="J35" s="169" t="n">
        <x:f>IF(G35&lt;=MIN('Исходные кривые'!$B$12:$K$12),INDEX('Исходные кривые'!$B$13:$K$13,1,1),IF(G35&gt;=MAX('Исходные кривые'!$B$12:$K$12),INDEX('Исходные кривые'!$B$13:$K$13,1,COLUMNS('Исходные кривые'!$B$13:$K$13)),INDEX('Исходные кривые'!$B$13:$K$13,1,MATCH(G35,'Исходные кривые'!$B$12:$K$12,1))+(G35-INDEX('Исходные кривые'!$B$12:$K$12,1,MATCH(G35,'Исходные кривые'!$B$12:$K$12,1)))*(INDEX('Исходные кривые'!$B$13:$K$13,1,MATCH(G35,'Исходные кривые'!$B$12:$K$12,1)+1)-INDEX('Исходные кривые'!$B$13:$K$13,1,MATCH(G35,'Исходные кривые'!$B$12:$K$12,1)))/(INDEX('Исходные кривые'!$B$12:$K$12,1,MATCH(G35,'Исходные кривые'!$B$12:$K$12,1)+1)-INDEX('Исходные кривые'!$B$12:$K$12,1,MATCH(G35,'Исходные кривые'!$B$12:$K$12,1)))))</x:f>
        <x:v>52.47123287671233</x:v>
      </x:c>
      <x:c r="K35" s="169" t="n">
        <x:f>IF(G35&lt;=MIN('Исходные кривые'!$B$12:$K$12),INDEX('Исходные кривые'!$B$14:$K$14,1,1),IF(G35&gt;=MAX('Исходные кривые'!$B$12:$K$12),INDEX('Исходные кривые'!$B$14:$K$14,1,COLUMNS('Исходные кривые'!$B$14:$K$14)),INDEX('Исходные кривые'!$B$14:$K$14,1,MATCH(G35,'Исходные кривые'!$B$12:$K$12,1))+(G35-INDEX('Исходные кривые'!$B$12:$K$12,1,MATCH(G35,'Исходные кривые'!$B$12:$K$12,1)))*(INDEX('Исходные кривые'!$B$14:$K$14,1,MATCH(G35,'Исходные кривые'!$B$12:$K$12,1)+1)-INDEX('Исходные кривые'!$B$14:$K$14,1,MATCH(G35,'Исходные кривые'!$B$12:$K$12,1)))/(INDEX('Исходные кривые'!$B$12:$K$12,1,MATCH(G35,'Исходные кривые'!$B$12:$K$12,1)+1)-INDEX('Исходные кривые'!$B$12:$K$12,1,MATCH(G35,'Исходные кривые'!$B$12:$K$12,1)))))</x:f>
        <x:v>-27.745205479452054</x:v>
      </x:c>
      <x:c r="L35" s="169" t="n">
        <x:f>IF(G35&lt;=MIN('Исходные кривые'!$B$17:$L$17),INDEX('Исходные кривые'!$B$18:$L$18,1,1),IF(G35&gt;=MAX('Исходные кривые'!$B$17:$L$17),INDEX('Исходные кривые'!$B$18:$L$18,1,COLUMNS('Исходные кривые'!$B$18:$L$18)),INDEX('Исходные кривые'!$B$18:$L$18,1,MATCH(G35,'Исходные кривые'!$B$17:$L$17,1))+(G35-INDEX('Исходные кривые'!$B$17:$L$17,1,MATCH(G35,'Исходные кривые'!$B$17:$L$17,1)))*(INDEX('Исходные кривые'!$B$18:$L$18,1,MATCH(G35,'Исходные кривые'!$B$17:$L$17,1)+1)-INDEX('Исходные кривые'!$B$18:$L$18,1,MATCH(G35,'Исходные кривые'!$B$17:$L$17,1)))/(INDEX('Исходные кривые'!$B$17:$L$17,1,MATCH(G35,'Исходные кривые'!$B$17:$L$17,1)+1)-INDEX('Исходные кривые'!$B$17:$L$17,1,MATCH(G35,'Исходные кривые'!$B$17:$L$17,1)))))</x:f>
        <x:v>6.272602739726028</x:v>
      </x:c>
      <x:c r="M35" s="169" t="n">
        <x:f>IF(G35&lt;=MIN('Исходные кривые'!$B$17:$L$17),INDEX('Исходные кривые'!$B$19:$L$19,1,1),IF(G35&gt;=MAX('Исходные кривые'!$B$17:$L$17),INDEX('Исходные кривые'!$B$19:$L$19,1,COLUMNS('Исходные кривые'!$B$19:$L$19)),INDEX('Исходные кривые'!$B$19:$L$19,1,MATCH(G35,'Исходные кривые'!$B$17:$L$17,1))+(G35-INDEX('Исходные кривые'!$B$17:$L$17,1,MATCH(G35,'Исходные кривые'!$B$17:$L$17,1)))*(INDEX('Исходные кривые'!$B$19:$L$19,1,MATCH(G35,'Исходные кривые'!$B$17:$L$17,1)+1)-INDEX('Исходные кривые'!$B$19:$L$19,1,MATCH(G35,'Исходные кривые'!$B$17:$L$17,1)))/(INDEX('Исходные кривые'!$B$17:$L$17,1,MATCH(G35,'Исходные кривые'!$B$17:$L$17,1)+1)-INDEX('Исходные кривые'!$B$17:$L$17,1,MATCH(G35,'Исходные кривые'!$B$17:$L$17,1)))))</x:f>
        <x:v>-3.2423287671232877</x:v>
      </x:c>
    </x:row>
    <x:row r="36">
      <x:c r="A36" s="86" t="str">
        <x:v>Своп 2</x:v>
      </x:c>
      <x:c r="B36" s="127" t="n">
        <x:v>46935</x:v>
      </x:c>
      <x:c r="C36" s="127" t="n">
        <x:v>48761</x:v>
      </x:c>
      <x:c r="D36" s="86" t="n">
        <x:v>7</x:v>
      </x:c>
      <x:c r="E36" s="127" t="n">
        <x:v>47574</x:v>
      </x:c>
      <x:c r="F36" s="168" t="n">
        <x:f>E36-'Настройки'!$B$4</x:f>
        <x:v>1371</x:v>
      </x:c>
      <x:c r="G36" s="169" t="n">
        <x:f>F36/'Настройки'!$B$5</x:f>
        <x:v>3.756164383561644</x:v>
      </x:c>
      <x:c r="H36" s="169" t="n">
        <x:f>IF(G36&lt;=MIN('Исходные кривые'!$B$4:$L$4),INDEX('Исходные кривые'!$B$5:$L$5,1,1),IF(G36&gt;=MAX('Исходные кривые'!$B$4:$L$4),INDEX('Исходные кривые'!$B$5:$L$5,1,COLUMNS('Исходные кривые'!$B$5:$L$5)),INDEX('Исходные кривые'!$B$5:$L$5,1,MATCH(G36,'Исходные кривые'!$B$4:$L$4,1))+(G36-INDEX('Исходные кривые'!$B$4:$L$4,1,MATCH(G36,'Исходные кривые'!$B$4:$L$4,1)))*(INDEX('Исходные кривые'!$B$5:$L$5,1,MATCH(G36,'Исходные кривые'!$B$4:$L$4,1)+1)-INDEX('Исходные кривые'!$B$5:$L$5,1,MATCH(G36,'Исходные кривые'!$B$4:$L$4,1)))/(INDEX('Исходные кривые'!$B$4:$L$4,1,MATCH(G36,'Исходные кривые'!$B$4:$L$4,1)+1)-INDEX('Исходные кривые'!$B$4:$L$4,1,MATCH(G36,'Исходные кривые'!$B$4:$L$4,1)))))</x:f>
        <x:v>14.829178082191781</x:v>
      </x:c>
      <x:c r="I36" s="169" t="n">
        <x:f>IF(G36&lt;=MIN('Исходные кривые'!$B$8:$N$8),INDEX('Исходные кривые'!$B$9:$N$9,1,1),IF(G36&gt;=MAX('Исходные кривые'!$B$8:$N$8),INDEX('Исходные кривые'!$B$9:$N$9,1,COLUMNS('Исходные кривые'!$B$9:$N$9)),INDEX('Исходные кривые'!$B$9:$N$9,1,MATCH(G36,'Исходные кривые'!$B$8:$N$8,1))+(G36-INDEX('Исходные кривые'!$B$8:$N$8,1,MATCH(G36,'Исходные кривые'!$B$8:$N$8,1)))*(INDEX('Исходные кривые'!$B$9:$N$9,1,MATCH(G36,'Исходные кривые'!$B$8:$N$8,1)+1)-INDEX('Исходные кривые'!$B$9:$N$9,1,MATCH(G36,'Исходные кривые'!$B$8:$N$8,1)))/(INDEX('Исходные кривые'!$B$8:$N$8,1,MATCH(G36,'Исходные кривые'!$B$8:$N$8,1)+1)-INDEX('Исходные кривые'!$B$8:$N$8,1,MATCH(G36,'Исходные кривые'!$B$8:$N$8,1)))))</x:f>
        <x:v>16.82917808219178</x:v>
      </x:c>
      <x:c r="J36" s="169" t="n">
        <x:f>IF(G36&lt;=MIN('Исходные кривые'!$B$12:$K$12),INDEX('Исходные кривые'!$B$13:$K$13,1,1),IF(G36&gt;=MAX('Исходные кривые'!$B$12:$K$12),INDEX('Исходные кривые'!$B$13:$K$13,1,COLUMNS('Исходные кривые'!$B$13:$K$13)),INDEX('Исходные кривые'!$B$13:$K$13,1,MATCH(G36,'Исходные кривые'!$B$12:$K$12,1))+(G36-INDEX('Исходные кривые'!$B$12:$K$12,1,MATCH(G36,'Исходные кривые'!$B$12:$K$12,1)))*(INDEX('Исходные кривые'!$B$13:$K$13,1,MATCH(G36,'Исходные кривые'!$B$12:$K$12,1)+1)-INDEX('Исходные кривые'!$B$13:$K$13,1,MATCH(G36,'Исходные кривые'!$B$12:$K$12,1)))/(INDEX('Исходные кривые'!$B$12:$K$12,1,MATCH(G36,'Исходные кривые'!$B$12:$K$12,1)+1)-INDEX('Исходные кривые'!$B$12:$K$12,1,MATCH(G36,'Исходные кривые'!$B$12:$K$12,1)))))</x:f>
        <x:v>51.73150684931507</x:v>
      </x:c>
      <x:c r="K36" s="169" t="n">
        <x:f>IF(G36&lt;=MIN('Исходные кривые'!$B$12:$K$12),INDEX('Исходные кривые'!$B$14:$K$14,1,1),IF(G36&gt;=MAX('Исходные кривые'!$B$12:$K$12),INDEX('Исходные кривые'!$B$14:$K$14,1,COLUMNS('Исходные кривые'!$B$14:$K$14)),INDEX('Исходные кривые'!$B$14:$K$14,1,MATCH(G36,'Исходные кривые'!$B$12:$K$12,1))+(G36-INDEX('Исходные кривые'!$B$12:$K$12,1,MATCH(G36,'Исходные кривые'!$B$12:$K$12,1)))*(INDEX('Исходные кривые'!$B$14:$K$14,1,MATCH(G36,'Исходные кривые'!$B$12:$K$12,1)+1)-INDEX('Исходные кривые'!$B$14:$K$14,1,MATCH(G36,'Исходные кривые'!$B$12:$K$12,1)))/(INDEX('Исходные кривые'!$B$12:$K$12,1,MATCH(G36,'Исходные кривые'!$B$12:$K$12,1)+1)-INDEX('Исходные кривые'!$B$12:$K$12,1,MATCH(G36,'Исходные кривые'!$B$12:$K$12,1)))))</x:f>
        <x:v>-27.621917808219177</x:v>
      </x:c>
      <x:c r="L36" s="169" t="n">
        <x:f>IF(G36&lt;=MIN('Исходные кривые'!$B$17:$L$17),INDEX('Исходные кривые'!$B$18:$L$18,1,1),IF(G36&gt;=MAX('Исходные кривые'!$B$17:$L$17),INDEX('Исходные кривые'!$B$18:$L$18,1,COLUMNS('Исходные кривые'!$B$18:$L$18)),INDEX('Исходные кривые'!$B$18:$L$18,1,MATCH(G36,'Исходные кривые'!$B$17:$L$17,1))+(G36-INDEX('Исходные кривые'!$B$17:$L$17,1,MATCH(G36,'Исходные кривые'!$B$17:$L$17,1)))*(INDEX('Исходные кривые'!$B$18:$L$18,1,MATCH(G36,'Исходные кривые'!$B$17:$L$17,1)+1)-INDEX('Исходные кривые'!$B$18:$L$18,1,MATCH(G36,'Исходные кривые'!$B$17:$L$17,1)))/(INDEX('Исходные кривые'!$B$17:$L$17,1,MATCH(G36,'Исходные кривые'!$B$17:$L$17,1)+1)-INDEX('Исходные кривые'!$B$17:$L$17,1,MATCH(G36,'Исходные кривые'!$B$17:$L$17,1)))))</x:f>
        <x:v>6.21095890410959</x:v>
      </x:c>
      <x:c r="M36" s="169" t="n">
        <x:f>IF(G36&lt;=MIN('Исходные кривые'!$B$17:$L$17),INDEX('Исходные кривые'!$B$19:$L$19,1,1),IF(G36&gt;=MAX('Исходные кривые'!$B$17:$L$17),INDEX('Исходные кривые'!$B$19:$L$19,1,COLUMNS('Исходные кривые'!$B$19:$L$19)),INDEX('Исходные кривые'!$B$19:$L$19,1,MATCH(G36,'Исходные кривые'!$B$17:$L$17,1))+(G36-INDEX('Исходные кривые'!$B$17:$L$17,1,MATCH(G36,'Исходные кривые'!$B$17:$L$17,1)))*(INDEX('Исходные кривые'!$B$19:$L$19,1,MATCH(G36,'Исходные кривые'!$B$17:$L$17,1)+1)-INDEX('Исходные кривые'!$B$19:$L$19,1,MATCH(G36,'Исходные кривые'!$B$17:$L$17,1)))/(INDEX('Исходные кривые'!$B$17:$L$17,1,MATCH(G36,'Исходные кривые'!$B$17:$L$17,1)+1)-INDEX('Исходные кривые'!$B$17:$L$17,1,MATCH(G36,'Исходные кривые'!$B$17:$L$17,1)))))</x:f>
        <x:v>-3.045068493150685</x:v>
      </x:c>
    </x:row>
    <x:row r="37">
      <x:c r="A37" s="86" t="str">
        <x:v>Своп 2</x:v>
      </x:c>
      <x:c r="B37" s="127" t="n">
        <x:v>46935</x:v>
      </x:c>
      <x:c r="C37" s="127" t="n">
        <x:v>48761</x:v>
      </x:c>
      <x:c r="D37" s="86" t="n">
        <x:v>8</x:v>
      </x:c>
      <x:c r="E37" s="127" t="n">
        <x:v>47665</x:v>
      </x:c>
      <x:c r="F37" s="168" t="n">
        <x:f>E37-'Настройки'!$B$4</x:f>
        <x:v>1462</x:v>
      </x:c>
      <x:c r="G37" s="169" t="n">
        <x:f>F37/'Настройки'!$B$5</x:f>
        <x:v>4.005479452054795</x:v>
      </x:c>
      <x:c r="H37" s="169" t="n">
        <x:f>IF(G37&lt;=MIN('Исходные кривые'!$B$4:$L$4),INDEX('Исходные кривые'!$B$5:$L$5,1,1),IF(G37&gt;=MAX('Исходные кривые'!$B$4:$L$4),INDEX('Исходные кривые'!$B$5:$L$5,1,COLUMNS('Исходные кривые'!$B$5:$L$5)),INDEX('Исходные кривые'!$B$5:$L$5,1,MATCH(G37,'Исходные кривые'!$B$4:$L$4,1))+(G37-INDEX('Исходные кривые'!$B$4:$L$4,1,MATCH(G37,'Исходные кривые'!$B$4:$L$4,1)))*(INDEX('Исходные кривые'!$B$5:$L$5,1,MATCH(G37,'Исходные кривые'!$B$4:$L$4,1)+1)-INDEX('Исходные кривые'!$B$5:$L$5,1,MATCH(G37,'Исходные кривые'!$B$4:$L$4,1)))/(INDEX('Исходные кривые'!$B$4:$L$4,1,MATCH(G37,'Исходные кривые'!$B$4:$L$4,1)+1)-INDEX('Исходные кривые'!$B$4:$L$4,1,MATCH(G37,'Исходные кривые'!$B$4:$L$4,1)))))</x:f>
        <x:v>14.947602739726028</x:v>
      </x:c>
      <x:c r="I37" s="169" t="n">
        <x:f>IF(G37&lt;=MIN('Исходные кривые'!$B$8:$N$8),INDEX('Исходные кривые'!$B$9:$N$9,1,1),IF(G37&gt;=MAX('Исходные кривые'!$B$8:$N$8),INDEX('Исходные кривые'!$B$9:$N$9,1,COLUMNS('Исходные кривые'!$B$9:$N$9)),INDEX('Исходные кривые'!$B$9:$N$9,1,MATCH(G37,'Исходные кривые'!$B$8:$N$8,1))+(G37-INDEX('Исходные кривые'!$B$8:$N$8,1,MATCH(G37,'Исходные кривые'!$B$8:$N$8,1)))*(INDEX('Исходные кривые'!$B$9:$N$9,1,MATCH(G37,'Исходные кривые'!$B$8:$N$8,1)+1)-INDEX('Исходные кривые'!$B$9:$N$9,1,MATCH(G37,'Исходные кривые'!$B$8:$N$8,1)))/(INDEX('Исходные кривые'!$B$8:$N$8,1,MATCH(G37,'Исходные кривые'!$B$8:$N$8,1)+1)-INDEX('Исходные кривые'!$B$8:$N$8,1,MATCH(G37,'Исходные кривые'!$B$8:$N$8,1)))))</x:f>
        <x:v>16.947602739726026</x:v>
      </x:c>
      <x:c r="J37" s="169" t="n">
        <x:f>IF(G37&lt;=MIN('Исходные кривые'!$B$12:$K$12),INDEX('Исходные кривые'!$B$13:$K$13,1,1),IF(G37&gt;=MAX('Исходные кривые'!$B$12:$K$12),INDEX('Исходные кривые'!$B$13:$K$13,1,COLUMNS('Исходные кривые'!$B$13:$K$13)),INDEX('Исходные кривые'!$B$13:$K$13,1,MATCH(G37,'Исходные кривые'!$B$12:$K$12,1))+(G37-INDEX('Исходные кривые'!$B$12:$K$12,1,MATCH(G37,'Исходные кривые'!$B$12:$K$12,1)))*(INDEX('Исходные кривые'!$B$13:$K$13,1,MATCH(G37,'Исходные кривые'!$B$12:$K$12,1)+1)-INDEX('Исходные кривые'!$B$13:$K$13,1,MATCH(G37,'Исходные кривые'!$B$12:$K$12,1)))/(INDEX('Исходные кривые'!$B$12:$K$12,1,MATCH(G37,'Исходные кривые'!$B$12:$K$12,1)+1)-INDEX('Исходные кривые'!$B$12:$K$12,1,MATCH(G37,'Исходные кривые'!$B$12:$K$12,1)))))</x:f>
        <x:v>50.983561643835614</x:v>
      </x:c>
      <x:c r="K37" s="169" t="n">
        <x:f>IF(G37&lt;=MIN('Исходные кривые'!$B$12:$K$12),INDEX('Исходные кривые'!$B$14:$K$14,1,1),IF(G37&gt;=MAX('Исходные кривые'!$B$12:$K$12),INDEX('Исходные кривые'!$B$14:$K$14,1,COLUMNS('Исходные кривые'!$B$14:$K$14)),INDEX('Исходные кривые'!$B$14:$K$14,1,MATCH(G37,'Исходные кривые'!$B$12:$K$12,1))+(G37-INDEX('Исходные кривые'!$B$12:$K$12,1,MATCH(G37,'Исходные кривые'!$B$12:$K$12,1)))*(INDEX('Исходные кривые'!$B$14:$K$14,1,MATCH(G37,'Исходные кривые'!$B$12:$K$12,1)+1)-INDEX('Исходные кривые'!$B$14:$K$14,1,MATCH(G37,'Исходные кривые'!$B$12:$K$12,1)))/(INDEX('Исходные кривые'!$B$12:$K$12,1,MATCH(G37,'Исходные кривые'!$B$12:$K$12,1)+1)-INDEX('Исходные кривые'!$B$12:$K$12,1,MATCH(G37,'Исходные кривые'!$B$12:$K$12,1)))))</x:f>
        <x:v>-27.497260273972604</x:v>
      </x:c>
      <x:c r="L37" s="169" t="n">
        <x:f>IF(G37&lt;=MIN('Исходные кривые'!$B$17:$L$17),INDEX('Исходные кривые'!$B$18:$L$18,1,1),IF(G37&gt;=MAX('Исходные кривые'!$B$17:$L$17),INDEX('Исходные кривые'!$B$18:$L$18,1,COLUMNS('Исходные кривые'!$B$18:$L$18)),INDEX('Исходные кривые'!$B$18:$L$18,1,MATCH(G37,'Исходные кривые'!$B$17:$L$17,1))+(G37-INDEX('Исходные кривые'!$B$17:$L$17,1,MATCH(G37,'Исходные кривые'!$B$17:$L$17,1)))*(INDEX('Исходные кривые'!$B$18:$L$18,1,MATCH(G37,'Исходные кривые'!$B$17:$L$17,1)+1)-INDEX('Исходные кривые'!$B$18:$L$18,1,MATCH(G37,'Исходные кривые'!$B$17:$L$17,1)))/(INDEX('Исходные кривые'!$B$17:$L$17,1,MATCH(G37,'Исходные кривые'!$B$17:$L$17,1)+1)-INDEX('Исходные кривые'!$B$17:$L$17,1,MATCH(G37,'Исходные кривые'!$B$17:$L$17,1)))))</x:f>
        <x:v>6.145890410958904</x:v>
      </x:c>
      <x:c r="M37" s="169" t="n">
        <x:f>IF(G37&lt;=MIN('Исходные кривые'!$B$17:$L$17),INDEX('Исходные кривые'!$B$19:$L$19,1,1),IF(G37&gt;=MAX('Исходные кривые'!$B$17:$L$17),INDEX('Исходные кривые'!$B$19:$L$19,1,COLUMNS('Исходные кривые'!$B$19:$L$19)),INDEX('Исходные кривые'!$B$19:$L$19,1,MATCH(G37,'Исходные кривые'!$B$17:$L$17,1))+(G37-INDEX('Исходные кривые'!$B$17:$L$17,1,MATCH(G37,'Исходные кривые'!$B$17:$L$17,1)))*(INDEX('Исходные кривые'!$B$19:$L$19,1,MATCH(G37,'Исходные кривые'!$B$17:$L$17,1)+1)-INDEX('Исходные кривые'!$B$19:$L$19,1,MATCH(G37,'Исходные кривые'!$B$17:$L$17,1)))/(INDEX('Исходные кривые'!$B$17:$L$17,1,MATCH(G37,'Исходные кривые'!$B$17:$L$17,1)+1)-INDEX('Исходные кривые'!$B$17:$L$17,1,MATCH(G37,'Исходные кривые'!$B$17:$L$17,1)))))</x:f>
        <x:v>-2.844794520547945</x:v>
      </x:c>
    </x:row>
    <x:row r="38">
      <x:c r="A38" s="86" t="str">
        <x:v>Своп 2</x:v>
      </x:c>
      <x:c r="B38" s="127" t="n">
        <x:v>46935</x:v>
      </x:c>
      <x:c r="C38" s="127" t="n">
        <x:v>48761</x:v>
      </x:c>
      <x:c r="D38" s="86" t="n">
        <x:v>9</x:v>
      </x:c>
      <x:c r="E38" s="127" t="n">
        <x:v>47757</x:v>
      </x:c>
      <x:c r="F38" s="168" t="n">
        <x:f>E38-'Настройки'!$B$4</x:f>
        <x:v>1554</x:v>
      </x:c>
      <x:c r="G38" s="169" t="n">
        <x:f>F38/'Настройки'!$B$5</x:f>
        <x:v>4.257534246575342</x:v>
      </x:c>
      <x:c r="H38" s="169" t="n">
        <x:f>IF(G38&lt;=MIN('Исходные кривые'!$B$4:$L$4),INDEX('Исходные кривые'!$B$5:$L$5,1,1),IF(G38&gt;=MAX('Исходные кривые'!$B$4:$L$4),INDEX('Исходные кривые'!$B$5:$L$5,1,COLUMNS('Исходные кривые'!$B$5:$L$5)),INDEX('Исходные кривые'!$B$5:$L$5,1,MATCH(G38,'Исходные кривые'!$B$4:$L$4,1))+(G38-INDEX('Исходные кривые'!$B$4:$L$4,1,MATCH(G38,'Исходные кривые'!$B$4:$L$4,1)))*(INDEX('Исходные кривые'!$B$5:$L$5,1,MATCH(G38,'Исходные кривые'!$B$4:$L$4,1)+1)-INDEX('Исходные кривые'!$B$5:$L$5,1,MATCH(G38,'Исходные кривые'!$B$4:$L$4,1)))/(INDEX('Исходные кривые'!$B$4:$L$4,1,MATCH(G38,'Исходные кривые'!$B$4:$L$4,1)+1)-INDEX('Исходные кривые'!$B$4:$L$4,1,MATCH(G38,'Исходные кривые'!$B$4:$L$4,1)))))</x:f>
        <x:v>15.067328767123287</x:v>
      </x:c>
      <x:c r="I38" s="169" t="n">
        <x:f>IF(G38&lt;=MIN('Исходные кривые'!$B$8:$N$8),INDEX('Исходные кривые'!$B$9:$N$9,1,1),IF(G38&gt;=MAX('Исходные кривые'!$B$8:$N$8),INDEX('Исходные кривые'!$B$9:$N$9,1,COLUMNS('Исходные кривые'!$B$9:$N$9)),INDEX('Исходные кривые'!$B$9:$N$9,1,MATCH(G38,'Исходные кривые'!$B$8:$N$8,1))+(G38-INDEX('Исходные кривые'!$B$8:$N$8,1,MATCH(G38,'Исходные кривые'!$B$8:$N$8,1)))*(INDEX('Исходные кривые'!$B$9:$N$9,1,MATCH(G38,'Исходные кривые'!$B$8:$N$8,1)+1)-INDEX('Исходные кривые'!$B$9:$N$9,1,MATCH(G38,'Исходные кривые'!$B$8:$N$8,1)))/(INDEX('Исходные кривые'!$B$8:$N$8,1,MATCH(G38,'Исходные кривые'!$B$8:$N$8,1)+1)-INDEX('Исходные кривые'!$B$8:$N$8,1,MATCH(G38,'Исходные кривые'!$B$8:$N$8,1)))))</x:f>
        <x:v>17.06732876712329</x:v>
      </x:c>
      <x:c r="J38" s="169" t="n">
        <x:f>IF(G38&lt;=MIN('Исходные кривые'!$B$12:$K$12),INDEX('Исходные кривые'!$B$13:$K$13,1,1),IF(G38&gt;=MAX('Исходные кривые'!$B$12:$K$12),INDEX('Исходные кривые'!$B$13:$K$13,1,COLUMNS('Исходные кривые'!$B$13:$K$13)),INDEX('Исходные кривые'!$B$13:$K$13,1,MATCH(G38,'Исходные кривые'!$B$12:$K$12,1))+(G38-INDEX('Исходные кривые'!$B$12:$K$12,1,MATCH(G38,'Исходные кривые'!$B$12:$K$12,1)))*(INDEX('Исходные кривые'!$B$13:$K$13,1,MATCH(G38,'Исходные кривые'!$B$12:$K$12,1)+1)-INDEX('Исходные кривые'!$B$13:$K$13,1,MATCH(G38,'Исходные кривые'!$B$12:$K$12,1)))/(INDEX('Исходные кривые'!$B$12:$K$12,1,MATCH(G38,'Исходные кривые'!$B$12:$K$12,1)+1)-INDEX('Исходные кривые'!$B$12:$K$12,1,MATCH(G38,'Исходные кривые'!$B$12:$K$12,1)))))</x:f>
        <x:v>50.227397260273975</x:v>
      </x:c>
      <x:c r="K38" s="169" t="n">
        <x:f>IF(G38&lt;=MIN('Исходные кривые'!$B$12:$K$12),INDEX('Исходные кривые'!$B$14:$K$14,1,1),IF(G38&gt;=MAX('Исходные кривые'!$B$12:$K$12),INDEX('Исходные кривые'!$B$14:$K$14,1,COLUMNS('Исходные кривые'!$B$14:$K$14)),INDEX('Исходные кривые'!$B$14:$K$14,1,MATCH(G38,'Исходные кривые'!$B$12:$K$12,1))+(G38-INDEX('Исходные кривые'!$B$12:$K$12,1,MATCH(G38,'Исходные кривые'!$B$12:$K$12,1)))*(INDEX('Исходные кривые'!$B$14:$K$14,1,MATCH(G38,'Исходные кривые'!$B$12:$K$12,1)+1)-INDEX('Исходные кривые'!$B$14:$K$14,1,MATCH(G38,'Исходные кривые'!$B$12:$K$12,1)))/(INDEX('Исходные кривые'!$B$12:$K$12,1,MATCH(G38,'Исходные кривые'!$B$12:$K$12,1)+1)-INDEX('Исходные кривые'!$B$12:$K$12,1,MATCH(G38,'Исходные кривые'!$B$12:$K$12,1)))))</x:f>
        <x:v>-27.37123287671233</x:v>
      </x:c>
      <x:c r="L38" s="169" t="n">
        <x:f>IF(G38&lt;=MIN('Исходные кривые'!$B$17:$L$17),INDEX('Исходные кривые'!$B$18:$L$18,1,1),IF(G38&gt;=MAX('Исходные кривые'!$B$17:$L$17),INDEX('Исходные кривые'!$B$18:$L$18,1,COLUMNS('Исходные кривые'!$B$18:$L$18)),INDEX('Исходные кривые'!$B$18:$L$18,1,MATCH(G38,'Исходные кривые'!$B$17:$L$17,1))+(G38-INDEX('Исходные кривые'!$B$17:$L$17,1,MATCH(G38,'Исходные кривые'!$B$17:$L$17,1)))*(INDEX('Исходные кривые'!$B$18:$L$18,1,MATCH(G38,'Исходные кривые'!$B$17:$L$17,1)+1)-INDEX('Исходные кривые'!$B$18:$L$18,1,MATCH(G38,'Исходные кривые'!$B$17:$L$17,1)))/(INDEX('Исходные кривые'!$B$17:$L$17,1,MATCH(G38,'Исходные кривые'!$B$17:$L$17,1)+1)-INDEX('Исходные кривые'!$B$17:$L$17,1,MATCH(G38,'Исходные кривые'!$B$17:$L$17,1)))))</x:f>
        <x:v>5.956849315068494</x:v>
      </x:c>
      <x:c r="M38" s="169" t="n">
        <x:f>IF(G38&lt;=MIN('Исходные кривые'!$B$17:$L$17),INDEX('Исходные кривые'!$B$19:$L$19,1,1),IF(G38&gt;=MAX('Исходные кривые'!$B$17:$L$17),INDEX('Исходные кривые'!$B$19:$L$19,1,COLUMNS('Исходные кривые'!$B$19:$L$19)),INDEX('Исходные кривые'!$B$19:$L$19,1,MATCH(G38,'Исходные кривые'!$B$17:$L$17,1))+(G38-INDEX('Исходные кривые'!$B$17:$L$17,1,MATCH(G38,'Исходные кривые'!$B$17:$L$17,1)))*(INDEX('Исходные кривые'!$B$19:$L$19,1,MATCH(G38,'Исходные кривые'!$B$17:$L$17,1)+1)-INDEX('Исходные кривые'!$B$19:$L$19,1,MATCH(G38,'Исходные кривые'!$B$17:$L$17,1)))/(INDEX('Исходные кривые'!$B$17:$L$17,1,MATCH(G38,'Исходные кривые'!$B$17:$L$17,1)+1)-INDEX('Исходные кривые'!$B$17:$L$17,1,MATCH(G38,'Исходные кривые'!$B$17:$L$17,1)))))</x:f>
        <x:v>-2.605342465753425</x:v>
      </x:c>
    </x:row>
    <x:row r="39">
      <x:c r="A39" s="86" t="str">
        <x:v>Своп 2</x:v>
      </x:c>
      <x:c r="B39" s="127" t="n">
        <x:v>46935</x:v>
      </x:c>
      <x:c r="C39" s="127" t="n">
        <x:v>48761</x:v>
      </x:c>
      <x:c r="D39" s="86" t="n">
        <x:v>10</x:v>
      </x:c>
      <x:c r="E39" s="127" t="n">
        <x:v>47849</x:v>
      </x:c>
      <x:c r="F39" s="168" t="n">
        <x:f>E39-'Настройки'!$B$4</x:f>
        <x:v>1646</x:v>
      </x:c>
      <x:c r="G39" s="169" t="n">
        <x:f>F39/'Настройки'!$B$5</x:f>
        <x:v>4.50958904109589</x:v>
      </x:c>
      <x:c r="H39" s="169" t="n">
        <x:f>IF(G39&lt;=MIN('Исходные кривые'!$B$4:$L$4),INDEX('Исходные кривые'!$B$5:$L$5,1,1),IF(G39&gt;=MAX('Исходные кривые'!$B$4:$L$4),INDEX('Исходные кривые'!$B$5:$L$5,1,COLUMNS('Исходные кривые'!$B$5:$L$5)),INDEX('Исходные кривые'!$B$5:$L$5,1,MATCH(G39,'Исходные кривые'!$B$4:$L$4,1))+(G39-INDEX('Исходные кривые'!$B$4:$L$4,1,MATCH(G39,'Исходные кривые'!$B$4:$L$4,1)))*(INDEX('Исходные кривые'!$B$5:$L$5,1,MATCH(G39,'Исходные кривые'!$B$4:$L$4,1)+1)-INDEX('Исходные кривые'!$B$5:$L$5,1,MATCH(G39,'Исходные кривые'!$B$4:$L$4,1)))/(INDEX('Исходные кривые'!$B$4:$L$4,1,MATCH(G39,'Исходные кривые'!$B$4:$L$4,1)+1)-INDEX('Исходные кривые'!$B$4:$L$4,1,MATCH(G39,'Исходные кривые'!$B$4:$L$4,1)))))</x:f>
        <x:v>15.187054794520549</x:v>
      </x:c>
      <x:c r="I39" s="169" t="n">
        <x:f>IF(G39&lt;=MIN('Исходные кривые'!$B$8:$N$8),INDEX('Исходные кривые'!$B$9:$N$9,1,1),IF(G39&gt;=MAX('Исходные кривые'!$B$8:$N$8),INDEX('Исходные кривые'!$B$9:$N$9,1,COLUMNS('Исходные кривые'!$B$9:$N$9)),INDEX('Исходные кривые'!$B$9:$N$9,1,MATCH(G39,'Исходные кривые'!$B$8:$N$8,1))+(G39-INDEX('Исходные кривые'!$B$8:$N$8,1,MATCH(G39,'Исходные кривые'!$B$8:$N$8,1)))*(INDEX('Исходные кривые'!$B$9:$N$9,1,MATCH(G39,'Исходные кривые'!$B$8:$N$8,1)+1)-INDEX('Исходные кривые'!$B$9:$N$9,1,MATCH(G39,'Исходные кривые'!$B$8:$N$8,1)))/(INDEX('Исходные кривые'!$B$8:$N$8,1,MATCH(G39,'Исходные кривые'!$B$8:$N$8,1)+1)-INDEX('Исходные кривые'!$B$8:$N$8,1,MATCH(G39,'Исходные кривые'!$B$8:$N$8,1)))))</x:f>
        <x:v>17.18705479452055</x:v>
      </x:c>
      <x:c r="J39" s="169" t="n">
        <x:f>IF(G39&lt;=MIN('Исходные кривые'!$B$12:$K$12),INDEX('Исходные кривые'!$B$13:$K$13,1,1),IF(G39&gt;=MAX('Исходные кривые'!$B$12:$K$12),INDEX('Исходные кривые'!$B$13:$K$13,1,COLUMNS('Исходные кривые'!$B$13:$K$13)),INDEX('Исходные кривые'!$B$13:$K$13,1,MATCH(G39,'Исходные кривые'!$B$12:$K$12,1))+(G39-INDEX('Исходные кривые'!$B$12:$K$12,1,MATCH(G39,'Исходные кривые'!$B$12:$K$12,1)))*(INDEX('Исходные кривые'!$B$13:$K$13,1,MATCH(G39,'Исходные кривые'!$B$12:$K$12,1)+1)-INDEX('Исходные кривые'!$B$13:$K$13,1,MATCH(G39,'Исходные кривые'!$B$12:$K$12,1)))/(INDEX('Исходные кривые'!$B$12:$K$12,1,MATCH(G39,'Исходные кривые'!$B$12:$K$12,1)+1)-INDEX('Исходные кривые'!$B$12:$K$12,1,MATCH(G39,'Исходные кривые'!$B$12:$K$12,1)))))</x:f>
        <x:v>49.47123287671233</x:v>
      </x:c>
      <x:c r="K39" s="169" t="n">
        <x:f>IF(G39&lt;=MIN('Исходные кривые'!$B$12:$K$12),INDEX('Исходные кривые'!$B$14:$K$14,1,1),IF(G39&gt;=MAX('Исходные кривые'!$B$12:$K$12),INDEX('Исходные кривые'!$B$14:$K$14,1,COLUMNS('Исходные кривые'!$B$14:$K$14)),INDEX('Исходные кривые'!$B$14:$K$14,1,MATCH(G39,'Исходные кривые'!$B$12:$K$12,1))+(G39-INDEX('Исходные кривые'!$B$12:$K$12,1,MATCH(G39,'Исходные кривые'!$B$12:$K$12,1)))*(INDEX('Исходные кривые'!$B$14:$K$14,1,MATCH(G39,'Исходные кривые'!$B$12:$K$12,1)+1)-INDEX('Исходные кривые'!$B$14:$K$14,1,MATCH(G39,'Исходные кривые'!$B$12:$K$12,1)))/(INDEX('Исходные кривые'!$B$12:$K$12,1,MATCH(G39,'Исходные кривые'!$B$12:$K$12,1)+1)-INDEX('Исходные кривые'!$B$12:$K$12,1,MATCH(G39,'Исходные кривые'!$B$12:$K$12,1)))))</x:f>
        <x:v>-27.245205479452054</x:v>
      </x:c>
      <x:c r="L39" s="169" t="n">
        <x:f>IF(G39&lt;=MIN('Исходные кривые'!$B$17:$L$17),INDEX('Исходные кривые'!$B$18:$L$18,1,1),IF(G39&gt;=MAX('Исходные кривые'!$B$17:$L$17),INDEX('Исходные кривые'!$B$18:$L$18,1,COLUMNS('Исходные кривые'!$B$18:$L$18)),INDEX('Исходные кривые'!$B$18:$L$18,1,MATCH(G39,'Исходные кривые'!$B$17:$L$17,1))+(G39-INDEX('Исходные кривые'!$B$17:$L$17,1,MATCH(G39,'Исходные кривые'!$B$17:$L$17,1)))*(INDEX('Исходные кривые'!$B$18:$L$18,1,MATCH(G39,'Исходные кривые'!$B$17:$L$17,1)+1)-INDEX('Исходные кривые'!$B$18:$L$18,1,MATCH(G39,'Исходные кривые'!$B$17:$L$17,1)))/(INDEX('Исходные кривые'!$B$17:$L$17,1,MATCH(G39,'Исходные кривые'!$B$17:$L$17,1)+1)-INDEX('Исходные кривые'!$B$17:$L$17,1,MATCH(G39,'Исходные кривые'!$B$17:$L$17,1)))))</x:f>
        <x:v>5.767808219178082</x:v>
      </x:c>
      <x:c r="M39" s="169" t="n">
        <x:f>IF(G39&lt;=MIN('Исходные кривые'!$B$17:$L$17),INDEX('Исходные кривые'!$B$19:$L$19,1,1),IF(G39&gt;=MAX('Исходные кривые'!$B$17:$L$17),INDEX('Исходные кривые'!$B$19:$L$19,1,COLUMNS('Исходные кривые'!$B$19:$L$19)),INDEX('Исходные кривые'!$B$19:$L$19,1,MATCH(G39,'Исходные кривые'!$B$17:$L$17,1))+(G39-INDEX('Исходные кривые'!$B$17:$L$17,1,MATCH(G39,'Исходные кривые'!$B$17:$L$17,1)))*(INDEX('Исходные кривые'!$B$19:$L$19,1,MATCH(G39,'Исходные кривые'!$B$17:$L$17,1)+1)-INDEX('Исходные кривые'!$B$19:$L$19,1,MATCH(G39,'Исходные кривые'!$B$17:$L$17,1)))/(INDEX('Исходные кривые'!$B$17:$L$17,1,MATCH(G39,'Исходные кривые'!$B$17:$L$17,1)+1)-INDEX('Исходные кривые'!$B$17:$L$17,1,MATCH(G39,'Исходные кривые'!$B$17:$L$17,1)))))</x:f>
        <x:v>-2.365890410958904</x:v>
      </x:c>
    </x:row>
    <x:row r="40">
      <x:c r="A40" s="86" t="str">
        <x:v>Своп 2</x:v>
      </x:c>
      <x:c r="B40" s="127" t="n">
        <x:v>46935</x:v>
      </x:c>
      <x:c r="C40" s="127" t="n">
        <x:v>48761</x:v>
      </x:c>
      <x:c r="D40" s="86" t="n">
        <x:v>11</x:v>
      </x:c>
      <x:c r="E40" s="127" t="n">
        <x:v>47939</x:v>
      </x:c>
      <x:c r="F40" s="168" t="n">
        <x:f>E40-'Настройки'!$B$4</x:f>
        <x:v>1736</x:v>
      </x:c>
      <x:c r="G40" s="169" t="n">
        <x:f>F40/'Настройки'!$B$5</x:f>
        <x:v>4.756164383561644</x:v>
      </x:c>
      <x:c r="H40" s="169" t="n">
        <x:f>IF(G40&lt;=MIN('Исходные кривые'!$B$4:$L$4),INDEX('Исходные кривые'!$B$5:$L$5,1,1),IF(G40&gt;=MAX('Исходные кривые'!$B$4:$L$4),INDEX('Исходные кривые'!$B$5:$L$5,1,COLUMNS('Исходные кривые'!$B$5:$L$5)),INDEX('Исходные кривые'!$B$5:$L$5,1,MATCH(G40,'Исходные кривые'!$B$4:$L$4,1))+(G40-INDEX('Исходные кривые'!$B$4:$L$4,1,MATCH(G40,'Исходные кривые'!$B$4:$L$4,1)))*(INDEX('Исходные кривые'!$B$5:$L$5,1,MATCH(G40,'Исходные кривые'!$B$4:$L$4,1)+1)-INDEX('Исходные кривые'!$B$5:$L$5,1,MATCH(G40,'Исходные кривые'!$B$4:$L$4,1)))/(INDEX('Исходные кривые'!$B$4:$L$4,1,MATCH(G40,'Исходные кривые'!$B$4:$L$4,1)+1)-INDEX('Исходные кривые'!$B$4:$L$4,1,MATCH(G40,'Исходные кривые'!$B$4:$L$4,1)))))</x:f>
        <x:v>15.30417808219178</x:v>
      </x:c>
      <x:c r="I40" s="169" t="n">
        <x:f>IF(G40&lt;=MIN('Исходные кривые'!$B$8:$N$8),INDEX('Исходные кривые'!$B$9:$N$9,1,1),IF(G40&gt;=MAX('Исходные кривые'!$B$8:$N$8),INDEX('Исходные кривые'!$B$9:$N$9,1,COLUMNS('Исходные кривые'!$B$9:$N$9)),INDEX('Исходные кривые'!$B$9:$N$9,1,MATCH(G40,'Исходные кривые'!$B$8:$N$8,1))+(G40-INDEX('Исходные кривые'!$B$8:$N$8,1,MATCH(G40,'Исходные кривые'!$B$8:$N$8,1)))*(INDEX('Исходные кривые'!$B$9:$N$9,1,MATCH(G40,'Исходные кривые'!$B$8:$N$8,1)+1)-INDEX('Исходные кривые'!$B$9:$N$9,1,MATCH(G40,'Исходные кривые'!$B$8:$N$8,1)))/(INDEX('Исходные кривые'!$B$8:$N$8,1,MATCH(G40,'Исходные кривые'!$B$8:$N$8,1)+1)-INDEX('Исходные кривые'!$B$8:$N$8,1,MATCH(G40,'Исходные кривые'!$B$8:$N$8,1)))))</x:f>
        <x:v>17.304178082191783</x:v>
      </x:c>
      <x:c r="J40" s="169" t="n">
        <x:f>IF(G40&lt;=MIN('Исходные кривые'!$B$12:$K$12),INDEX('Исходные кривые'!$B$13:$K$13,1,1),IF(G40&gt;=MAX('Исходные кривые'!$B$12:$K$12),INDEX('Исходные кривые'!$B$13:$K$13,1,COLUMNS('Исходные кривые'!$B$13:$K$13)),INDEX('Исходные кривые'!$B$13:$K$13,1,MATCH(G40,'Исходные кривые'!$B$12:$K$12,1))+(G40-INDEX('Исходные кривые'!$B$12:$K$12,1,MATCH(G40,'Исходные кривые'!$B$12:$K$12,1)))*(INDEX('Исходные кривые'!$B$13:$K$13,1,MATCH(G40,'Исходные кривые'!$B$12:$K$12,1)+1)-INDEX('Исходные кривые'!$B$13:$K$13,1,MATCH(G40,'Исходные кривые'!$B$12:$K$12,1)))/(INDEX('Исходные кривые'!$B$12:$K$12,1,MATCH(G40,'Исходные кривые'!$B$12:$K$12,1)+1)-INDEX('Исходные кривые'!$B$12:$K$12,1,MATCH(G40,'Исходные кривые'!$B$12:$K$12,1)))))</x:f>
        <x:v>48.73150684931507</x:v>
      </x:c>
      <x:c r="K40" s="169" t="n">
        <x:f>IF(G40&lt;=MIN('Исходные кривые'!$B$12:$K$12),INDEX('Исходные кривые'!$B$14:$K$14,1,1),IF(G40&gt;=MAX('Исходные кривые'!$B$12:$K$12),INDEX('Исходные кривые'!$B$14:$K$14,1,COLUMNS('Исходные кривые'!$B$14:$K$14)),INDEX('Исходные кривые'!$B$14:$K$14,1,MATCH(G40,'Исходные кривые'!$B$12:$K$12,1))+(G40-INDEX('Исходные кривые'!$B$12:$K$12,1,MATCH(G40,'Исходные кривые'!$B$12:$K$12,1)))*(INDEX('Исходные кривые'!$B$14:$K$14,1,MATCH(G40,'Исходные кривые'!$B$12:$K$12,1)+1)-INDEX('Исходные кривые'!$B$14:$K$14,1,MATCH(G40,'Исходные кривые'!$B$12:$K$12,1)))/(INDEX('Исходные кривые'!$B$12:$K$12,1,MATCH(G40,'Исходные кривые'!$B$12:$K$12,1)+1)-INDEX('Исходные кривые'!$B$12:$K$12,1,MATCH(G40,'Исходные кривые'!$B$12:$K$12,1)))))</x:f>
        <x:v>-27.121917808219177</x:v>
      </x:c>
      <x:c r="L40" s="169" t="n">
        <x:f>IF(G40&lt;=MIN('Исходные кривые'!$B$17:$L$17),INDEX('Исходные кривые'!$B$18:$L$18,1,1),IF(G40&gt;=MAX('Исходные кривые'!$B$17:$L$17),INDEX('Исходные кривые'!$B$18:$L$18,1,COLUMNS('Исходные кривые'!$B$18:$L$18)),INDEX('Исходные кривые'!$B$18:$L$18,1,MATCH(G40,'Исходные кривые'!$B$17:$L$17,1))+(G40-INDEX('Исходные кривые'!$B$17:$L$17,1,MATCH(G40,'Исходные кривые'!$B$17:$L$17,1)))*(INDEX('Исходные кривые'!$B$18:$L$18,1,MATCH(G40,'Исходные кривые'!$B$17:$L$17,1)+1)-INDEX('Исходные кривые'!$B$18:$L$18,1,MATCH(G40,'Исходные кривые'!$B$17:$L$17,1)))/(INDEX('Исходные кривые'!$B$17:$L$17,1,MATCH(G40,'Исходные кривые'!$B$17:$L$17,1)+1)-INDEX('Исходные кривые'!$B$17:$L$17,1,MATCH(G40,'Исходные кривые'!$B$17:$L$17,1)))))</x:f>
        <x:v>5.582876712328767</x:v>
      </x:c>
      <x:c r="M40" s="169" t="n">
        <x:f>IF(G40&lt;=MIN('Исходные кривые'!$B$17:$L$17),INDEX('Исходные кривые'!$B$19:$L$19,1,1),IF(G40&gt;=MAX('Исходные кривые'!$B$17:$L$17),INDEX('Исходные кривые'!$B$19:$L$19,1,COLUMNS('Исходные кривые'!$B$19:$L$19)),INDEX('Исходные кривые'!$B$19:$L$19,1,MATCH(G40,'Исходные кривые'!$B$17:$L$17,1))+(G40-INDEX('Исходные кривые'!$B$17:$L$17,1,MATCH(G40,'Исходные кривые'!$B$17:$L$17,1)))*(INDEX('Исходные кривые'!$B$19:$L$19,1,MATCH(G40,'Исходные кривые'!$B$17:$L$17,1)+1)-INDEX('Исходные кривые'!$B$19:$L$19,1,MATCH(G40,'Исходные кривые'!$B$17:$L$17,1)))/(INDEX('Исходные кривые'!$B$17:$L$17,1,MATCH(G40,'Исходные кривые'!$B$17:$L$17,1)+1)-INDEX('Исходные кривые'!$B$17:$L$17,1,MATCH(G40,'Исходные кривые'!$B$17:$L$17,1)))))</x:f>
        <x:v>-2.131643835616438</x:v>
      </x:c>
    </x:row>
    <x:row r="41">
      <x:c r="A41" s="86" t="str">
        <x:v>Своп 2</x:v>
      </x:c>
      <x:c r="B41" s="127" t="n">
        <x:v>46935</x:v>
      </x:c>
      <x:c r="C41" s="127" t="n">
        <x:v>48761</x:v>
      </x:c>
      <x:c r="D41" s="86" t="n">
        <x:v>12</x:v>
      </x:c>
      <x:c r="E41" s="127" t="n">
        <x:v>48030</x:v>
      </x:c>
      <x:c r="F41" s="168" t="n">
        <x:f>E41-'Настройки'!$B$4</x:f>
        <x:v>1827</x:v>
      </x:c>
      <x:c r="G41" s="169" t="n">
        <x:f>F41/'Настройки'!$B$5</x:f>
        <x:v>5.005479452054795</x:v>
      </x:c>
      <x:c r="H41" s="169" t="n">
        <x:f>IF(G41&lt;=MIN('Исходные кривые'!$B$4:$L$4),INDEX('Исходные кривые'!$B$5:$L$5,1,1),IF(G41&gt;=MAX('Исходные кривые'!$B$4:$L$4),INDEX('Исходные кривые'!$B$5:$L$5,1,COLUMNS('Исходные кривые'!$B$5:$L$5)),INDEX('Исходные кривые'!$B$5:$L$5,1,MATCH(G41,'Исходные кривые'!$B$4:$L$4,1))+(G41-INDEX('Исходные кривые'!$B$4:$L$4,1,MATCH(G41,'Исходные кривые'!$B$4:$L$4,1)))*(INDEX('Исходные кривые'!$B$5:$L$5,1,MATCH(G41,'Исходные кривые'!$B$4:$L$4,1)+1)-INDEX('Исходные кривые'!$B$5:$L$5,1,MATCH(G41,'Исходные кривые'!$B$4:$L$4,1)))/(INDEX('Исходные кривые'!$B$4:$L$4,1,MATCH(G41,'Исходные кривые'!$B$4:$L$4,1)+1)-INDEX('Исходные кривые'!$B$4:$L$4,1,MATCH(G41,'Исходные кривые'!$B$4:$L$4,1)))))</x:f>
        <x:v>15.421534246575343</x:v>
      </x:c>
      <x:c r="I41" s="169" t="n">
        <x:f>IF(G41&lt;=MIN('Исходные кривые'!$B$8:$N$8),INDEX('Исходные кривые'!$B$9:$N$9,1,1),IF(G41&gt;=MAX('Исходные кривые'!$B$8:$N$8),INDEX('Исходные кривые'!$B$9:$N$9,1,COLUMNS('Исходные кривые'!$B$9:$N$9)),INDEX('Исходные кривые'!$B$9:$N$9,1,MATCH(G41,'Исходные кривые'!$B$8:$N$8,1))+(G41-INDEX('Исходные кривые'!$B$8:$N$8,1,MATCH(G41,'Исходные кривые'!$B$8:$N$8,1)))*(INDEX('Исходные кривые'!$B$9:$N$9,1,MATCH(G41,'Исходные кривые'!$B$8:$N$8,1)+1)-INDEX('Исходные кривые'!$B$9:$N$9,1,MATCH(G41,'Исходные кривые'!$B$8:$N$8,1)))/(INDEX('Исходные кривые'!$B$8:$N$8,1,MATCH(G41,'Исходные кривые'!$B$8:$N$8,1)+1)-INDEX('Исходные кривые'!$B$8:$N$8,1,MATCH(G41,'Исходные кривые'!$B$8:$N$8,1)))))</x:f>
        <x:v>17.421534246575344</x:v>
      </x:c>
      <x:c r="J41" s="169" t="n">
        <x:f>IF(G41&lt;=MIN('Исходные кривые'!$B$12:$K$12),INDEX('Исходные кривые'!$B$13:$K$13,1,1),IF(G41&gt;=MAX('Исходные кривые'!$B$12:$K$12),INDEX('Исходные кривые'!$B$13:$K$13,1,COLUMNS('Исходные кривые'!$B$13:$K$13)),INDEX('Исходные кривые'!$B$13:$K$13,1,MATCH(G41,'Исходные кривые'!$B$12:$K$12,1))+(G41-INDEX('Исходные кривые'!$B$12:$K$12,1,MATCH(G41,'Исходные кривые'!$B$12:$K$12,1)))*(INDEX('Исходные кривые'!$B$13:$K$13,1,MATCH(G41,'Исходные кривые'!$B$12:$K$12,1)+1)-INDEX('Исходные кривые'!$B$13:$K$13,1,MATCH(G41,'Исходные кривые'!$B$12:$K$12,1)))/(INDEX('Исходные кривые'!$B$12:$K$12,1,MATCH(G41,'Исходные кривые'!$B$12:$K$12,1)+1)-INDEX('Исходные кривые'!$B$12:$K$12,1,MATCH(G41,'Исходные кривые'!$B$12:$K$12,1)))))</x:f>
        <x:v>47.983561643835614</x:v>
      </x:c>
      <x:c r="K41" s="169" t="n">
        <x:f>IF(G41&lt;=MIN('Исходные кривые'!$B$12:$K$12),INDEX('Исходные кривые'!$B$14:$K$14,1,1),IF(G41&gt;=MAX('Исходные кривые'!$B$12:$K$12),INDEX('Исходные кривые'!$B$14:$K$14,1,COLUMNS('Исходные кривые'!$B$14:$K$14)),INDEX('Исходные кривые'!$B$14:$K$14,1,MATCH(G41,'Исходные кривые'!$B$12:$K$12,1))+(G41-INDEX('Исходные кривые'!$B$12:$K$12,1,MATCH(G41,'Исходные кривые'!$B$12:$K$12,1)))*(INDEX('Исходные кривые'!$B$14:$K$14,1,MATCH(G41,'Исходные кривые'!$B$12:$K$12,1)+1)-INDEX('Исходные кривые'!$B$14:$K$14,1,MATCH(G41,'Исходные кривые'!$B$12:$K$12,1)))/(INDEX('Исходные кривые'!$B$12:$K$12,1,MATCH(G41,'Исходные кривые'!$B$12:$K$12,1)+1)-INDEX('Исходные кривые'!$B$12:$K$12,1,MATCH(G41,'Исходные кривые'!$B$12:$K$12,1)))))</x:f>
        <x:v>-26.997260273972604</x:v>
      </x:c>
      <x:c r="L41" s="169" t="n">
        <x:f>IF(G41&lt;=MIN('Исходные кривые'!$B$17:$L$17),INDEX('Исходные кривые'!$B$18:$L$18,1,1),IF(G41&gt;=MAX('Исходные кривые'!$B$17:$L$17),INDEX('Исходные кривые'!$B$18:$L$18,1,COLUMNS('Исходные кривые'!$B$18:$L$18)),INDEX('Исходные кривые'!$B$18:$L$18,1,MATCH(G41,'Исходные кривые'!$B$17:$L$17,1))+(G41-INDEX('Исходные кривые'!$B$17:$L$17,1,MATCH(G41,'Исходные кривые'!$B$17:$L$17,1)))*(INDEX('Исходные кривые'!$B$18:$L$18,1,MATCH(G41,'Исходные кривые'!$B$17:$L$17,1)+1)-INDEX('Исходные кривые'!$B$18:$L$18,1,MATCH(G41,'Исходные кривые'!$B$17:$L$17,1)))/(INDEX('Исходные кривые'!$B$17:$L$17,1,MATCH(G41,'Исходные кривые'!$B$17:$L$17,1)+1)-INDEX('Исходные кривые'!$B$17:$L$17,1,MATCH(G41,'Исходные кривые'!$B$17:$L$17,1)))))</x:f>
        <x:v>5.4</x:v>
      </x:c>
      <x:c r="M41" s="169" t="n">
        <x:f>IF(G41&lt;=MIN('Исходные кривые'!$B$17:$L$17),INDEX('Исходные кривые'!$B$19:$L$19,1,1),IF(G41&gt;=MAX('Исходные кривые'!$B$17:$L$17),INDEX('Исходные кривые'!$B$19:$L$19,1,COLUMNS('Исходные кривые'!$B$19:$L$19)),INDEX('Исходные кривые'!$B$19:$L$19,1,MATCH(G41,'Исходные кривые'!$B$17:$L$17,1))+(G41-INDEX('Исходные кривые'!$B$17:$L$17,1,MATCH(G41,'Исходные кривые'!$B$17:$L$17,1)))*(INDEX('Исходные кривые'!$B$19:$L$19,1,MATCH(G41,'Исходные кривые'!$B$17:$L$17,1)+1)-INDEX('Исходные кривые'!$B$19:$L$19,1,MATCH(G41,'Исходные кривые'!$B$17:$L$17,1)))/(INDEX('Исходные кривые'!$B$17:$L$17,1,MATCH(G41,'Исходные кривые'!$B$17:$L$17,1)+1)-INDEX('Исходные кривые'!$B$17:$L$17,1,MATCH(G41,'Исходные кривые'!$B$17:$L$17,1)))))</x:f>
        <x:v>-1.9</x:v>
      </x:c>
    </x:row>
    <x:row r="42">
      <x:c r="A42" s="86" t="str">
        <x:v>Своп 2</x:v>
      </x:c>
      <x:c r="B42" s="127" t="n">
        <x:v>46935</x:v>
      </x:c>
      <x:c r="C42" s="127" t="n">
        <x:v>48761</x:v>
      </x:c>
      <x:c r="D42" s="86" t="n">
        <x:v>13</x:v>
      </x:c>
      <x:c r="E42" s="127" t="n">
        <x:v>48122</x:v>
      </x:c>
      <x:c r="F42" s="168" t="n">
        <x:f>E42-'Настройки'!$B$4</x:f>
        <x:v>1919</x:v>
      </x:c>
      <x:c r="G42" s="169" t="n">
        <x:f>F42/'Настройки'!$B$5</x:f>
        <x:v>5.257534246575342</x:v>
      </x:c>
      <x:c r="H42" s="169" t="n">
        <x:f>IF(G42&lt;=MIN('Исходные кривые'!$B$4:$L$4),INDEX('Исходные кривые'!$B$5:$L$5,1,1),IF(G42&gt;=MAX('Исходные кривые'!$B$4:$L$4),INDEX('Исходные кривые'!$B$5:$L$5,1,COLUMNS('Исходные кривые'!$B$5:$L$5)),INDEX('Исходные кривые'!$B$5:$L$5,1,MATCH(G42,'Исходные кривые'!$B$4:$L$4,1))+(G42-INDEX('Исходные кривые'!$B$4:$L$4,1,MATCH(G42,'Исходные кривые'!$B$4:$L$4,1)))*(INDEX('Исходные кривые'!$B$5:$L$5,1,MATCH(G42,'Исходные кривые'!$B$4:$L$4,1)+1)-INDEX('Исходные кривые'!$B$5:$L$5,1,MATCH(G42,'Исходные кривые'!$B$4:$L$4,1)))/(INDEX('Исходные кривые'!$B$4:$L$4,1,MATCH(G42,'Исходные кривые'!$B$4:$L$4,1)+1)-INDEX('Исходные кривые'!$B$4:$L$4,1,MATCH(G42,'Исходные кривые'!$B$4:$L$4,1)))))</x:f>
        <x:v>15.492109589041096</x:v>
      </x:c>
      <x:c r="I42" s="169" t="n">
        <x:f>IF(G42&lt;=MIN('Исходные кривые'!$B$8:$N$8),INDEX('Исходные кривые'!$B$9:$N$9,1,1),IF(G42&gt;=MAX('Исходные кривые'!$B$8:$N$8),INDEX('Исходные кривые'!$B$9:$N$9,1,COLUMNS('Исходные кривые'!$B$9:$N$9)),INDEX('Исходные кривые'!$B$9:$N$9,1,MATCH(G42,'Исходные кривые'!$B$8:$N$8,1))+(G42-INDEX('Исходные кривые'!$B$8:$N$8,1,MATCH(G42,'Исходные кривые'!$B$8:$N$8,1)))*(INDEX('Исходные кривые'!$B$9:$N$9,1,MATCH(G42,'Исходные кривые'!$B$8:$N$8,1)+1)-INDEX('Исходные кривые'!$B$9:$N$9,1,MATCH(G42,'Исходные кривые'!$B$8:$N$8,1)))/(INDEX('Исходные кривые'!$B$8:$N$8,1,MATCH(G42,'Исходные кривые'!$B$8:$N$8,1)+1)-INDEX('Исходные кривые'!$B$8:$N$8,1,MATCH(G42,'Исходные кривые'!$B$8:$N$8,1)))))</x:f>
        <x:v>17.492109589041096</x:v>
      </x:c>
      <x:c r="J42" s="169" t="n">
        <x:f>IF(G42&lt;=MIN('Исходные кривые'!$B$12:$K$12),INDEX('Исходные кривые'!$B$13:$K$13,1,1),IF(G42&gt;=MAX('Исходные кривые'!$B$12:$K$12),INDEX('Исходные кривые'!$B$13:$K$13,1,COLUMNS('Исходные кривые'!$B$13:$K$13)),INDEX('Исходные кривые'!$B$13:$K$13,1,MATCH(G42,'Исходные кривые'!$B$12:$K$12,1))+(G42-INDEX('Исходные кривые'!$B$12:$K$12,1,MATCH(G42,'Исходные кривые'!$B$12:$K$12,1)))*(INDEX('Исходные кривые'!$B$13:$K$13,1,MATCH(G42,'Исходные кривые'!$B$12:$K$12,1)+1)-INDEX('Исходные кривые'!$B$13:$K$13,1,MATCH(G42,'Исходные кривые'!$B$12:$K$12,1)))/(INDEX('Исходные кривые'!$B$12:$K$12,1,MATCH(G42,'Исходные кривые'!$B$12:$K$12,1)+1)-INDEX('Исходные кривые'!$B$12:$K$12,1,MATCH(G42,'Исходные кривые'!$B$12:$K$12,1)))))</x:f>
        <x:v>47.227397260273975</x:v>
      </x:c>
      <x:c r="K42" s="169" t="n">
        <x:f>IF(G42&lt;=MIN('Исходные кривые'!$B$12:$K$12),INDEX('Исходные кривые'!$B$14:$K$14,1,1),IF(G42&gt;=MAX('Исходные кривые'!$B$12:$K$12),INDEX('Исходные кривые'!$B$14:$K$14,1,COLUMNS('Исходные кривые'!$B$14:$K$14)),INDEX('Исходные кривые'!$B$14:$K$14,1,MATCH(G42,'Исходные кривые'!$B$12:$K$12,1))+(G42-INDEX('Исходные кривые'!$B$12:$K$12,1,MATCH(G42,'Исходные кривые'!$B$12:$K$12,1)))*(INDEX('Исходные кривые'!$B$14:$K$14,1,MATCH(G42,'Исходные кривые'!$B$12:$K$12,1)+1)-INDEX('Исходные кривые'!$B$14:$K$14,1,MATCH(G42,'Исходные кривые'!$B$12:$K$12,1)))/(INDEX('Исходные кривые'!$B$12:$K$12,1,MATCH(G42,'Исходные кривые'!$B$12:$K$12,1)+1)-INDEX('Исходные кривые'!$B$12:$K$12,1,MATCH(G42,'Исходные кривые'!$B$12:$K$12,1)))))</x:f>
        <x:v>-26.87123287671233</x:v>
      </x:c>
      <x:c r="L42" s="169" t="n">
        <x:f>IF(G42&lt;=MIN('Исходные кривые'!$B$17:$L$17),INDEX('Исходные кривые'!$B$18:$L$18,1,1),IF(G42&gt;=MAX('Исходные кривые'!$B$17:$L$17),INDEX('Исходные кривые'!$B$18:$L$18,1,COLUMNS('Исходные кривые'!$B$18:$L$18)),INDEX('Исходные кривые'!$B$18:$L$18,1,MATCH(G42,'Исходные кривые'!$B$17:$L$17,1))+(G42-INDEX('Исходные кривые'!$B$17:$L$17,1,MATCH(G42,'Исходные кривые'!$B$17:$L$17,1)))*(INDEX('Исходные кривые'!$B$18:$L$18,1,MATCH(G42,'Исходные кривые'!$B$17:$L$17,1)+1)-INDEX('Исходные кривые'!$B$18:$L$18,1,MATCH(G42,'Исходные кривые'!$B$17:$L$17,1)))/(INDEX('Исходные кривые'!$B$17:$L$17,1,MATCH(G42,'Исходные кривые'!$B$17:$L$17,1)+1)-INDEX('Исходные кривые'!$B$17:$L$17,1,MATCH(G42,'Исходные кривые'!$B$17:$L$17,1)))))</x:f>
        <x:v>5.4</x:v>
      </x:c>
      <x:c r="M42" s="169" t="n">
        <x:f>IF(G42&lt;=MIN('Исходные кривые'!$B$17:$L$17),INDEX('Исходные кривые'!$B$19:$L$19,1,1),IF(G42&gt;=MAX('Исходные кривые'!$B$17:$L$17),INDEX('Исходные кривые'!$B$19:$L$19,1,COLUMNS('Исходные кривые'!$B$19:$L$19)),INDEX('Исходные кривые'!$B$19:$L$19,1,MATCH(G42,'Исходные кривые'!$B$17:$L$17,1))+(G42-INDEX('Исходные кривые'!$B$17:$L$17,1,MATCH(G42,'Исходные кривые'!$B$17:$L$17,1)))*(INDEX('Исходные кривые'!$B$19:$L$19,1,MATCH(G42,'Исходные кривые'!$B$17:$L$17,1)+1)-INDEX('Исходные кривые'!$B$19:$L$19,1,MATCH(G42,'Исходные кривые'!$B$17:$L$17,1)))/(INDEX('Исходные кривые'!$B$17:$L$17,1,MATCH(G42,'Исходные кривые'!$B$17:$L$17,1)+1)-INDEX('Исходные кривые'!$B$17:$L$17,1,MATCH(G42,'Исходные кривые'!$B$17:$L$17,1)))))</x:f>
        <x:v>-1.9</x:v>
      </x:c>
    </x:row>
    <x:row r="43">
      <x:c r="A43" s="86" t="str">
        <x:v>Своп 2</x:v>
      </x:c>
      <x:c r="B43" s="127" t="n">
        <x:v>46935</x:v>
      </x:c>
      <x:c r="C43" s="127" t="n">
        <x:v>48761</x:v>
      </x:c>
      <x:c r="D43" s="86" t="n">
        <x:v>14</x:v>
      </x:c>
      <x:c r="E43" s="127" t="n">
        <x:v>48214</x:v>
      </x:c>
      <x:c r="F43" s="168" t="n">
        <x:f>E43-'Настройки'!$B$4</x:f>
        <x:v>2011</x:v>
      </x:c>
      <x:c r="G43" s="169" t="n">
        <x:f>F43/'Настройки'!$B$5</x:f>
        <x:v>5.50958904109589</x:v>
      </x:c>
      <x:c r="H43" s="169" t="n">
        <x:f>IF(G43&lt;=MIN('Исходные кривые'!$B$4:$L$4),INDEX('Исходные кривые'!$B$5:$L$5,1,1),IF(G43&gt;=MAX('Исходные кривые'!$B$4:$L$4),INDEX('Исходные кривые'!$B$5:$L$5,1,COLUMNS('Исходные кривые'!$B$5:$L$5)),INDEX('Исходные кривые'!$B$5:$L$5,1,MATCH(G43,'Исходные кривые'!$B$4:$L$4,1))+(G43-INDEX('Исходные кривые'!$B$4:$L$4,1,MATCH(G43,'Исходные кривые'!$B$4:$L$4,1)))*(INDEX('Исходные кривые'!$B$5:$L$5,1,MATCH(G43,'Исходные кривые'!$B$4:$L$4,1)+1)-INDEX('Исходные кривые'!$B$5:$L$5,1,MATCH(G43,'Исходные кривые'!$B$4:$L$4,1)))/(INDEX('Исходные кривые'!$B$4:$L$4,1,MATCH(G43,'Исходные кривые'!$B$4:$L$4,1)+1)-INDEX('Исходные кривые'!$B$4:$L$4,1,MATCH(G43,'Исходные кривые'!$B$4:$L$4,1)))))</x:f>
        <x:v>15.56268493150685</x:v>
      </x:c>
      <x:c r="I43" s="169" t="n">
        <x:f>IF(G43&lt;=MIN('Исходные кривые'!$B$8:$N$8),INDEX('Исходные кривые'!$B$9:$N$9,1,1),IF(G43&gt;=MAX('Исходные кривые'!$B$8:$N$8),INDEX('Исходные кривые'!$B$9:$N$9,1,COLUMNS('Исходные кривые'!$B$9:$N$9)),INDEX('Исходные кривые'!$B$9:$N$9,1,MATCH(G43,'Исходные кривые'!$B$8:$N$8,1))+(G43-INDEX('Исходные кривые'!$B$8:$N$8,1,MATCH(G43,'Исходные кривые'!$B$8:$N$8,1)))*(INDEX('Исходные кривые'!$B$9:$N$9,1,MATCH(G43,'Исходные кривые'!$B$8:$N$8,1)+1)-INDEX('Исходные кривые'!$B$9:$N$9,1,MATCH(G43,'Исходные кривые'!$B$8:$N$8,1)))/(INDEX('Исходные кривые'!$B$8:$N$8,1,MATCH(G43,'Исходные кривые'!$B$8:$N$8,1)+1)-INDEX('Исходные кривые'!$B$8:$N$8,1,MATCH(G43,'Исходные кривые'!$B$8:$N$8,1)))))</x:f>
        <x:v>17.56268493150685</x:v>
      </x:c>
      <x:c r="J43" s="169" t="n">
        <x:f>IF(G43&lt;=MIN('Исходные кривые'!$B$12:$K$12),INDEX('Исходные кривые'!$B$13:$K$13,1,1),IF(G43&gt;=MAX('Исходные кривые'!$B$12:$K$12),INDEX('Исходные кривые'!$B$13:$K$13,1,COLUMNS('Исходные кривые'!$B$13:$K$13)),INDEX('Исходные кривые'!$B$13:$K$13,1,MATCH(G43,'Исходные кривые'!$B$12:$K$12,1))+(G43-INDEX('Исходные кривые'!$B$12:$K$12,1,MATCH(G43,'Исходные кривые'!$B$12:$K$12,1)))*(INDEX('Исходные кривые'!$B$13:$K$13,1,MATCH(G43,'Исходные кривые'!$B$12:$K$12,1)+1)-INDEX('Исходные кривые'!$B$13:$K$13,1,MATCH(G43,'Исходные кривые'!$B$12:$K$12,1)))/(INDEX('Исходные кривые'!$B$12:$K$12,1,MATCH(G43,'Исходные кривые'!$B$12:$K$12,1)+1)-INDEX('Исходные кривые'!$B$12:$K$12,1,MATCH(G43,'Исходные кривые'!$B$12:$K$12,1)))))</x:f>
        <x:v>46.47123287671233</x:v>
      </x:c>
      <x:c r="K43" s="169" t="n">
        <x:f>IF(G43&lt;=MIN('Исходные кривые'!$B$12:$K$12),INDEX('Исходные кривые'!$B$14:$K$14,1,1),IF(G43&gt;=MAX('Исходные кривые'!$B$12:$K$12),INDEX('Исходные кривые'!$B$14:$K$14,1,COLUMNS('Исходные кривые'!$B$14:$K$14)),INDEX('Исходные кривые'!$B$14:$K$14,1,MATCH(G43,'Исходные кривые'!$B$12:$K$12,1))+(G43-INDEX('Исходные кривые'!$B$12:$K$12,1,MATCH(G43,'Исходные кривые'!$B$12:$K$12,1)))*(INDEX('Исходные кривые'!$B$14:$K$14,1,MATCH(G43,'Исходные кривые'!$B$12:$K$12,1)+1)-INDEX('Исходные кривые'!$B$14:$K$14,1,MATCH(G43,'Исходные кривые'!$B$12:$K$12,1)))/(INDEX('Исходные кривые'!$B$12:$K$12,1,MATCH(G43,'Исходные кривые'!$B$12:$K$12,1)+1)-INDEX('Исходные кривые'!$B$12:$K$12,1,MATCH(G43,'Исходные кривые'!$B$12:$K$12,1)))))</x:f>
        <x:v>-26.745205479452054</x:v>
      </x:c>
      <x:c r="L43" s="169" t="n">
        <x:f>IF(G43&lt;=MIN('Исходные кривые'!$B$17:$L$17),INDEX('Исходные кривые'!$B$18:$L$18,1,1),IF(G43&gt;=MAX('Исходные кривые'!$B$17:$L$17),INDEX('Исходные кривые'!$B$18:$L$18,1,COLUMNS('Исходные кривые'!$B$18:$L$18)),INDEX('Исходные кривые'!$B$18:$L$18,1,MATCH(G43,'Исходные кривые'!$B$17:$L$17,1))+(G43-INDEX('Исходные кривые'!$B$17:$L$17,1,MATCH(G43,'Исходные кривые'!$B$17:$L$17,1)))*(INDEX('Исходные кривые'!$B$18:$L$18,1,MATCH(G43,'Исходные кривые'!$B$17:$L$17,1)+1)-INDEX('Исходные кривые'!$B$18:$L$18,1,MATCH(G43,'Исходные кривые'!$B$17:$L$17,1)))/(INDEX('Исходные кривые'!$B$17:$L$17,1,MATCH(G43,'Исходные кривые'!$B$17:$L$17,1)+1)-INDEX('Исходные кривые'!$B$17:$L$17,1,MATCH(G43,'Исходные кривые'!$B$17:$L$17,1)))))</x:f>
        <x:v>5.4</x:v>
      </x:c>
      <x:c r="M43" s="169" t="n">
        <x:f>IF(G43&lt;=MIN('Исходные кривые'!$B$17:$L$17),INDEX('Исходные кривые'!$B$19:$L$19,1,1),IF(G43&gt;=MAX('Исходные кривые'!$B$17:$L$17),INDEX('Исходные кривые'!$B$19:$L$19,1,COLUMNS('Исходные кривые'!$B$19:$L$19)),INDEX('Исходные кривые'!$B$19:$L$19,1,MATCH(G43,'Исходные кривые'!$B$17:$L$17,1))+(G43-INDEX('Исходные кривые'!$B$17:$L$17,1,MATCH(G43,'Исходные кривые'!$B$17:$L$17,1)))*(INDEX('Исходные кривые'!$B$19:$L$19,1,MATCH(G43,'Исходные кривые'!$B$17:$L$17,1)+1)-INDEX('Исходные кривые'!$B$19:$L$19,1,MATCH(G43,'Исходные кривые'!$B$17:$L$17,1)))/(INDEX('Исходные кривые'!$B$17:$L$17,1,MATCH(G43,'Исходные кривые'!$B$17:$L$17,1)+1)-INDEX('Исходные кривые'!$B$17:$L$17,1,MATCH(G43,'Исходные кривые'!$B$17:$L$17,1)))))</x:f>
        <x:v>-1.9</x:v>
      </x:c>
    </x:row>
    <x:row r="44">
      <x:c r="A44" s="86" t="str">
        <x:v>Своп 2</x:v>
      </x:c>
      <x:c r="B44" s="127" t="n">
        <x:v>46935</x:v>
      </x:c>
      <x:c r="C44" s="127" t="n">
        <x:v>48761</x:v>
      </x:c>
      <x:c r="D44" s="86" t="n">
        <x:v>15</x:v>
      </x:c>
      <x:c r="E44" s="127" t="n">
        <x:v>48305</x:v>
      </x:c>
      <x:c r="F44" s="168" t="n">
        <x:f>E44-'Настройки'!$B$4</x:f>
        <x:v>2102</x:v>
      </x:c>
      <x:c r="G44" s="169" t="n">
        <x:f>F44/'Настройки'!$B$5</x:f>
        <x:v>5.758904109589041</x:v>
      </x:c>
      <x:c r="H44" s="169" t="n">
        <x:f>IF(G44&lt;=MIN('Исходные кривые'!$B$4:$L$4),INDEX('Исходные кривые'!$B$5:$L$5,1,1),IF(G44&gt;=MAX('Исходные кривые'!$B$4:$L$4),INDEX('Исходные кривые'!$B$5:$L$5,1,COLUMNS('Исходные кривые'!$B$5:$L$5)),INDEX('Исходные кривые'!$B$5:$L$5,1,MATCH(G44,'Исходные кривые'!$B$4:$L$4,1))+(G44-INDEX('Исходные кривые'!$B$4:$L$4,1,MATCH(G44,'Исходные кривые'!$B$4:$L$4,1)))*(INDEX('Исходные кривые'!$B$5:$L$5,1,MATCH(G44,'Исходные кривые'!$B$4:$L$4,1)+1)-INDEX('Исходные кривые'!$B$5:$L$5,1,MATCH(G44,'Исходные кривые'!$B$4:$L$4,1)))/(INDEX('Исходные кривые'!$B$4:$L$4,1,MATCH(G44,'Исходные кривые'!$B$4:$L$4,1)+1)-INDEX('Исходные кривые'!$B$4:$L$4,1,MATCH(G44,'Исходные кривые'!$B$4:$L$4,1)))))</x:f>
        <x:v>15.632493150684931</x:v>
      </x:c>
      <x:c r="I44" s="169" t="n">
        <x:f>IF(G44&lt;=MIN('Исходные кривые'!$B$8:$N$8),INDEX('Исходные кривые'!$B$9:$N$9,1,1),IF(G44&gt;=MAX('Исходные кривые'!$B$8:$N$8),INDEX('Исходные кривые'!$B$9:$N$9,1,COLUMNS('Исходные кривые'!$B$9:$N$9)),INDEX('Исходные кривые'!$B$9:$N$9,1,MATCH(G44,'Исходные кривые'!$B$8:$N$8,1))+(G44-INDEX('Исходные кривые'!$B$8:$N$8,1,MATCH(G44,'Исходные кривые'!$B$8:$N$8,1)))*(INDEX('Исходные кривые'!$B$9:$N$9,1,MATCH(G44,'Исходные кривые'!$B$8:$N$8,1)+1)-INDEX('Исходные кривые'!$B$9:$N$9,1,MATCH(G44,'Исходные кривые'!$B$8:$N$8,1)))/(INDEX('Исходные кривые'!$B$8:$N$8,1,MATCH(G44,'Исходные кривые'!$B$8:$N$8,1)+1)-INDEX('Исходные кривые'!$B$8:$N$8,1,MATCH(G44,'Исходные кривые'!$B$8:$N$8,1)))))</x:f>
        <x:v>17.632493150684933</x:v>
      </x:c>
      <x:c r="J44" s="169" t="n">
        <x:f>IF(G44&lt;=MIN('Исходные кривые'!$B$12:$K$12),INDEX('Исходные кривые'!$B$13:$K$13,1,1),IF(G44&gt;=MAX('Исходные кривые'!$B$12:$K$12),INDEX('Исходные кривые'!$B$13:$K$13,1,COLUMNS('Исходные кривые'!$B$13:$K$13)),INDEX('Исходные кривые'!$B$13:$K$13,1,MATCH(G44,'Исходные кривые'!$B$12:$K$12,1))+(G44-INDEX('Исходные кривые'!$B$12:$K$12,1,MATCH(G44,'Исходные кривые'!$B$12:$K$12,1)))*(INDEX('Исходные кривые'!$B$13:$K$13,1,MATCH(G44,'Исходные кривые'!$B$12:$K$12,1)+1)-INDEX('Исходные кривые'!$B$13:$K$13,1,MATCH(G44,'Исходные кривые'!$B$12:$K$12,1)))/(INDEX('Исходные кривые'!$B$12:$K$12,1,MATCH(G44,'Исходные кривые'!$B$12:$K$12,1)+1)-INDEX('Исходные кривые'!$B$12:$K$12,1,MATCH(G44,'Исходные кривые'!$B$12:$K$12,1)))))</x:f>
        <x:v>45.723287671232875</x:v>
      </x:c>
      <x:c r="K44" s="169" t="n">
        <x:f>IF(G44&lt;=MIN('Исходные кривые'!$B$12:$K$12),INDEX('Исходные кривые'!$B$14:$K$14,1,1),IF(G44&gt;=MAX('Исходные кривые'!$B$12:$K$12),INDEX('Исходные кривые'!$B$14:$K$14,1,COLUMNS('Исходные кривые'!$B$14:$K$14)),INDEX('Исходные кривые'!$B$14:$K$14,1,MATCH(G44,'Исходные кривые'!$B$12:$K$12,1))+(G44-INDEX('Исходные кривые'!$B$12:$K$12,1,MATCH(G44,'Исходные кривые'!$B$12:$K$12,1)))*(INDEX('Исходные кривые'!$B$14:$K$14,1,MATCH(G44,'Исходные кривые'!$B$12:$K$12,1)+1)-INDEX('Исходные кривые'!$B$14:$K$14,1,MATCH(G44,'Исходные кривые'!$B$12:$K$12,1)))/(INDEX('Исходные кривые'!$B$12:$K$12,1,MATCH(G44,'Исходные кривые'!$B$12:$K$12,1)+1)-INDEX('Исходные кривые'!$B$12:$K$12,1,MATCH(G44,'Исходные кривые'!$B$12:$K$12,1)))))</x:f>
        <x:v>-26.62054794520548</x:v>
      </x:c>
      <x:c r="L44" s="169" t="n">
        <x:f>IF(G44&lt;=MIN('Исходные кривые'!$B$17:$L$17),INDEX('Исходные кривые'!$B$18:$L$18,1,1),IF(G44&gt;=MAX('Исходные кривые'!$B$17:$L$17),INDEX('Исходные кривые'!$B$18:$L$18,1,COLUMNS('Исходные кривые'!$B$18:$L$18)),INDEX('Исходные кривые'!$B$18:$L$18,1,MATCH(G44,'Исходные кривые'!$B$17:$L$17,1))+(G44-INDEX('Исходные кривые'!$B$17:$L$17,1,MATCH(G44,'Исходные кривые'!$B$17:$L$17,1)))*(INDEX('Исходные кривые'!$B$18:$L$18,1,MATCH(G44,'Исходные кривые'!$B$17:$L$17,1)+1)-INDEX('Исходные кривые'!$B$18:$L$18,1,MATCH(G44,'Исходные кривые'!$B$17:$L$17,1)))/(INDEX('Исходные кривые'!$B$17:$L$17,1,MATCH(G44,'Исходные кривые'!$B$17:$L$17,1)+1)-INDEX('Исходные кривые'!$B$17:$L$17,1,MATCH(G44,'Исходные кривые'!$B$17:$L$17,1)))))</x:f>
        <x:v>5.4</x:v>
      </x:c>
      <x:c r="M44" s="169" t="n">
        <x:f>IF(G44&lt;=MIN('Исходные кривые'!$B$17:$L$17),INDEX('Исходные кривые'!$B$19:$L$19,1,1),IF(G44&gt;=MAX('Исходные кривые'!$B$17:$L$17),INDEX('Исходные кривые'!$B$19:$L$19,1,COLUMNS('Исходные кривые'!$B$19:$L$19)),INDEX('Исходные кривые'!$B$19:$L$19,1,MATCH(G44,'Исходные кривые'!$B$17:$L$17,1))+(G44-INDEX('Исходные кривые'!$B$17:$L$17,1,MATCH(G44,'Исходные кривые'!$B$17:$L$17,1)))*(INDEX('Исходные кривые'!$B$19:$L$19,1,MATCH(G44,'Исходные кривые'!$B$17:$L$17,1)+1)-INDEX('Исходные кривые'!$B$19:$L$19,1,MATCH(G44,'Исходные кривые'!$B$17:$L$17,1)))/(INDEX('Исходные кривые'!$B$17:$L$17,1,MATCH(G44,'Исходные кривые'!$B$17:$L$17,1)+1)-INDEX('Исходные кривые'!$B$17:$L$17,1,MATCH(G44,'Исходные кривые'!$B$17:$L$17,1)))))</x:f>
        <x:v>-1.9</x:v>
      </x:c>
    </x:row>
    <x:row r="45">
      <x:c r="A45" s="86" t="str">
        <x:v>Своп 2</x:v>
      </x:c>
      <x:c r="B45" s="127" t="n">
        <x:v>46935</x:v>
      </x:c>
      <x:c r="C45" s="127" t="n">
        <x:v>48761</x:v>
      </x:c>
      <x:c r="D45" s="86" t="n">
        <x:v>16</x:v>
      </x:c>
      <x:c r="E45" s="127" t="n">
        <x:v>48396</x:v>
      </x:c>
      <x:c r="F45" s="168" t="n">
        <x:f>E45-'Настройки'!$B$4</x:f>
        <x:v>2193</x:v>
      </x:c>
      <x:c r="G45" s="169" t="n">
        <x:f>F45/'Настройки'!$B$5</x:f>
        <x:v>6.008219178082192</x:v>
      </x:c>
      <x:c r="H45" s="169" t="n">
        <x:f>IF(G45&lt;=MIN('Исходные кривые'!$B$4:$L$4),INDEX('Исходные кривые'!$B$5:$L$5,1,1),IF(G45&gt;=MAX('Исходные кривые'!$B$4:$L$4),INDEX('Исходные кривые'!$B$5:$L$5,1,COLUMNS('Исходные кривые'!$B$5:$L$5)),INDEX('Исходные кривые'!$B$5:$L$5,1,MATCH(G45,'Исходные кривые'!$B$4:$L$4,1))+(G45-INDEX('Исходные кривые'!$B$4:$L$4,1,MATCH(G45,'Исходные кривые'!$B$4:$L$4,1)))*(INDEX('Исходные кривые'!$B$5:$L$5,1,MATCH(G45,'Исходные кривые'!$B$4:$L$4,1)+1)-INDEX('Исходные кривые'!$B$5:$L$5,1,MATCH(G45,'Исходные кривые'!$B$4:$L$4,1)))/(INDEX('Исходные кривые'!$B$4:$L$4,1,MATCH(G45,'Исходные кривые'!$B$4:$L$4,1)+1)-INDEX('Исходные кривые'!$B$4:$L$4,1,MATCH(G45,'Исходные кривые'!$B$4:$L$4,1)))))</x:f>
        <x:v>15.702301369863013</x:v>
      </x:c>
      <x:c r="I45" s="169" t="n">
        <x:f>IF(G45&lt;=MIN('Исходные кривые'!$B$8:$N$8),INDEX('Исходные кривые'!$B$9:$N$9,1,1),IF(G45&gt;=MAX('Исходные кривые'!$B$8:$N$8),INDEX('Исходные кривые'!$B$9:$N$9,1,COLUMNS('Исходные кривые'!$B$9:$N$9)),INDEX('Исходные кривые'!$B$9:$N$9,1,MATCH(G45,'Исходные кривые'!$B$8:$N$8,1))+(G45-INDEX('Исходные кривые'!$B$8:$N$8,1,MATCH(G45,'Исходные кривые'!$B$8:$N$8,1)))*(INDEX('Исходные кривые'!$B$9:$N$9,1,MATCH(G45,'Исходные кривые'!$B$8:$N$8,1)+1)-INDEX('Исходные кривые'!$B$9:$N$9,1,MATCH(G45,'Исходные кривые'!$B$8:$N$8,1)))/(INDEX('Исходные кривые'!$B$8:$N$8,1,MATCH(G45,'Исходные кривые'!$B$8:$N$8,1)+1)-INDEX('Исходные кривые'!$B$8:$N$8,1,MATCH(G45,'Исходные кривые'!$B$8:$N$8,1)))))</x:f>
        <x:v>17.702301369863015</x:v>
      </x:c>
      <x:c r="J45" s="169" t="n">
        <x:f>IF(G45&lt;=MIN('Исходные кривые'!$B$12:$K$12),INDEX('Исходные кривые'!$B$13:$K$13,1,1),IF(G45&gt;=MAX('Исходные кривые'!$B$12:$K$12),INDEX('Исходные кривые'!$B$13:$K$13,1,COLUMNS('Исходные кривые'!$B$13:$K$13)),INDEX('Исходные кривые'!$B$13:$K$13,1,MATCH(G45,'Исходные кривые'!$B$12:$K$12,1))+(G45-INDEX('Исходные кривые'!$B$12:$K$12,1,MATCH(G45,'Исходные кривые'!$B$12:$K$12,1)))*(INDEX('Исходные кривые'!$B$13:$K$13,1,MATCH(G45,'Исходные кривые'!$B$12:$K$12,1)+1)-INDEX('Исходные кривые'!$B$13:$K$13,1,MATCH(G45,'Исходные кривые'!$B$12:$K$12,1)))/(INDEX('Исходные кривые'!$B$12:$K$12,1,MATCH(G45,'Исходные кривые'!$B$12:$K$12,1)+1)-INDEX('Исходные кривые'!$B$12:$K$12,1,MATCH(G45,'Исходные кривые'!$B$12:$K$12,1)))))</x:f>
        <x:v>44.97534246575342</x:v>
      </x:c>
      <x:c r="K45" s="169" t="n">
        <x:f>IF(G45&lt;=MIN('Исходные кривые'!$B$12:$K$12),INDEX('Исходные кривые'!$B$14:$K$14,1,1),IF(G45&gt;=MAX('Исходные кривые'!$B$12:$K$12),INDEX('Исходные кривые'!$B$14:$K$14,1,COLUMNS('Исходные кривые'!$B$14:$K$14)),INDEX('Исходные кривые'!$B$14:$K$14,1,MATCH(G45,'Исходные кривые'!$B$12:$K$12,1))+(G45-INDEX('Исходные кривые'!$B$12:$K$12,1,MATCH(G45,'Исходные кривые'!$B$12:$K$12,1)))*(INDEX('Исходные кривые'!$B$14:$K$14,1,MATCH(G45,'Исходные кривые'!$B$12:$K$12,1)+1)-INDEX('Исходные кривые'!$B$14:$K$14,1,MATCH(G45,'Исходные кривые'!$B$12:$K$12,1)))/(INDEX('Исходные кривые'!$B$12:$K$12,1,MATCH(G45,'Исходные кривые'!$B$12:$K$12,1)+1)-INDEX('Исходные кривые'!$B$12:$K$12,1,MATCH(G45,'Исходные кривые'!$B$12:$K$12,1)))))</x:f>
        <x:v>-26.495890410958904</x:v>
      </x:c>
      <x:c r="L45" s="169" t="n">
        <x:f>IF(G45&lt;=MIN('Исходные кривые'!$B$17:$L$17),INDEX('Исходные кривые'!$B$18:$L$18,1,1),IF(G45&gt;=MAX('Исходные кривые'!$B$17:$L$17),INDEX('Исходные кривые'!$B$18:$L$18,1,COLUMNS('Исходные кривые'!$B$18:$L$18)),INDEX('Исходные кривые'!$B$18:$L$18,1,MATCH(G45,'Исходные кривые'!$B$17:$L$17,1))+(G45-INDEX('Исходные кривые'!$B$17:$L$17,1,MATCH(G45,'Исходные кривые'!$B$17:$L$17,1)))*(INDEX('Исходные кривые'!$B$18:$L$18,1,MATCH(G45,'Исходные кривые'!$B$17:$L$17,1)+1)-INDEX('Исходные кривые'!$B$18:$L$18,1,MATCH(G45,'Исходные кривые'!$B$17:$L$17,1)))/(INDEX('Исходные кривые'!$B$17:$L$17,1,MATCH(G45,'Исходные кривые'!$B$17:$L$17,1)+1)-INDEX('Исходные кривые'!$B$17:$L$17,1,MATCH(G45,'Исходные кривые'!$B$17:$L$17,1)))))</x:f>
        <x:v>5.4</x:v>
      </x:c>
      <x:c r="M45" s="169" t="n">
        <x:f>IF(G45&lt;=MIN('Исходные кривые'!$B$17:$L$17),INDEX('Исходные кривые'!$B$19:$L$19,1,1),IF(G45&gt;=MAX('Исходные кривые'!$B$17:$L$17),INDEX('Исходные кривые'!$B$19:$L$19,1,COLUMNS('Исходные кривые'!$B$19:$L$19)),INDEX('Исходные кривые'!$B$19:$L$19,1,MATCH(G45,'Исходные кривые'!$B$17:$L$17,1))+(G45-INDEX('Исходные кривые'!$B$17:$L$17,1,MATCH(G45,'Исходные кривые'!$B$17:$L$17,1)))*(INDEX('Исходные кривые'!$B$19:$L$19,1,MATCH(G45,'Исходные кривые'!$B$17:$L$17,1)+1)-INDEX('Исходные кривые'!$B$19:$L$19,1,MATCH(G45,'Исходные кривые'!$B$17:$L$17,1)))/(INDEX('Исходные кривые'!$B$17:$L$17,1,MATCH(G45,'Исходные кривые'!$B$17:$L$17,1)+1)-INDEX('Исходные кривые'!$B$17:$L$17,1,MATCH(G45,'Исходные кривые'!$B$17:$L$17,1)))))</x:f>
        <x:v>-1.9</x:v>
      </x:c>
    </x:row>
    <x:row r="46">
      <x:c r="A46" s="86" t="str">
        <x:v>Своп 2</x:v>
      </x:c>
      <x:c r="B46" s="127" t="n">
        <x:v>46935</x:v>
      </x:c>
      <x:c r="C46" s="127" t="n">
        <x:v>48761</x:v>
      </x:c>
      <x:c r="D46" s="86" t="n">
        <x:v>17</x:v>
      </x:c>
      <x:c r="E46" s="127" t="n">
        <x:v>48488</x:v>
      </x:c>
      <x:c r="F46" s="168" t="n">
        <x:f>E46-'Настройки'!$B$4</x:f>
        <x:v>2285</x:v>
      </x:c>
      <x:c r="G46" s="169" t="n">
        <x:f>F46/'Настройки'!$B$5</x:f>
        <x:v>6.260273972602739</x:v>
      </x:c>
      <x:c r="H46" s="169" t="n">
        <x:f>IF(G46&lt;=MIN('Исходные кривые'!$B$4:$L$4),INDEX('Исходные кривые'!$B$5:$L$5,1,1),IF(G46&gt;=MAX('Исходные кривые'!$B$4:$L$4),INDEX('Исходные кривые'!$B$5:$L$5,1,COLUMNS('Исходные кривые'!$B$5:$L$5)),INDEX('Исходные кривые'!$B$5:$L$5,1,MATCH(G46,'Исходные кривые'!$B$4:$L$4,1))+(G46-INDEX('Исходные кривые'!$B$4:$L$4,1,MATCH(G46,'Исходные кривые'!$B$4:$L$4,1)))*(INDEX('Исходные кривые'!$B$5:$L$5,1,MATCH(G46,'Исходные кривые'!$B$4:$L$4,1)+1)-INDEX('Исходные кривые'!$B$5:$L$5,1,MATCH(G46,'Исходные кривые'!$B$4:$L$4,1)))/(INDEX('Исходные кривые'!$B$4:$L$4,1,MATCH(G46,'Исходные кривые'!$B$4:$L$4,1)+1)-INDEX('Исходные кривые'!$B$4:$L$4,1,MATCH(G46,'Исходные кривые'!$B$4:$L$4,1)))))</x:f>
        <x:v>15.772876712328767</x:v>
      </x:c>
      <x:c r="I46" s="169" t="n">
        <x:f>IF(G46&lt;=MIN('Исходные кривые'!$B$8:$N$8),INDEX('Исходные кривые'!$B$9:$N$9,1,1),IF(G46&gt;=MAX('Исходные кривые'!$B$8:$N$8),INDEX('Исходные кривые'!$B$9:$N$9,1,COLUMNS('Исходные кривые'!$B$9:$N$9)),INDEX('Исходные кривые'!$B$9:$N$9,1,MATCH(G46,'Исходные кривые'!$B$8:$N$8,1))+(G46-INDEX('Исходные кривые'!$B$8:$N$8,1,MATCH(G46,'Исходные кривые'!$B$8:$N$8,1)))*(INDEX('Исходные кривые'!$B$9:$N$9,1,MATCH(G46,'Исходные кривые'!$B$8:$N$8,1)+1)-INDEX('Исходные кривые'!$B$9:$N$9,1,MATCH(G46,'Исходные кривые'!$B$8:$N$8,1)))/(INDEX('Исходные кривые'!$B$8:$N$8,1,MATCH(G46,'Исходные кривые'!$B$8:$N$8,1)+1)-INDEX('Исходные кривые'!$B$8:$N$8,1,MATCH(G46,'Исходные кривые'!$B$8:$N$8,1)))))</x:f>
        <x:v>17.772876712328767</x:v>
      </x:c>
      <x:c r="J46" s="169" t="n">
        <x:f>IF(G46&lt;=MIN('Исходные кривые'!$B$12:$K$12),INDEX('Исходные кривые'!$B$13:$K$13,1,1),IF(G46&gt;=MAX('Исходные кривые'!$B$12:$K$12),INDEX('Исходные кривые'!$B$13:$K$13,1,COLUMNS('Исходные кривые'!$B$13:$K$13)),INDEX('Исходные кривые'!$B$13:$K$13,1,MATCH(G46,'Исходные кривые'!$B$12:$K$12,1))+(G46-INDEX('Исходные кривые'!$B$12:$K$12,1,MATCH(G46,'Исходные кривые'!$B$12:$K$12,1)))*(INDEX('Исходные кривые'!$B$13:$K$13,1,MATCH(G46,'Исходные кривые'!$B$12:$K$12,1)+1)-INDEX('Исходные кривые'!$B$13:$K$13,1,MATCH(G46,'Исходные кривые'!$B$12:$K$12,1)))/(INDEX('Исходные кривые'!$B$12:$K$12,1,MATCH(G46,'Исходные кривые'!$B$12:$K$12,1)+1)-INDEX('Исходные кривые'!$B$12:$K$12,1,MATCH(G46,'Исходные кривые'!$B$12:$K$12,1)))))</x:f>
        <x:v>44.21917808219178</x:v>
      </x:c>
      <x:c r="K46" s="169" t="n">
        <x:f>IF(G46&lt;=MIN('Исходные кривые'!$B$12:$K$12),INDEX('Исходные кривые'!$B$14:$K$14,1,1),IF(G46&gt;=MAX('Исходные кривые'!$B$12:$K$12),INDEX('Исходные кривые'!$B$14:$K$14,1,COLUMNS('Исходные кривые'!$B$14:$K$14)),INDEX('Исходные кривые'!$B$14:$K$14,1,MATCH(G46,'Исходные кривые'!$B$12:$K$12,1))+(G46-INDEX('Исходные кривые'!$B$12:$K$12,1,MATCH(G46,'Исходные кривые'!$B$12:$K$12,1)))*(INDEX('Исходные кривые'!$B$14:$K$14,1,MATCH(G46,'Исходные кривые'!$B$12:$K$12,1)+1)-INDEX('Исходные кривые'!$B$14:$K$14,1,MATCH(G46,'Исходные кривые'!$B$12:$K$12,1)))/(INDEX('Исходные кривые'!$B$12:$K$12,1,MATCH(G46,'Исходные кривые'!$B$12:$K$12,1)+1)-INDEX('Исходные кривые'!$B$12:$K$12,1,MATCH(G46,'Исходные кривые'!$B$12:$K$12,1)))))</x:f>
        <x:v>-26.36986301369863</x:v>
      </x:c>
      <x:c r="L46" s="169" t="n">
        <x:f>IF(G46&lt;=MIN('Исходные кривые'!$B$17:$L$17),INDEX('Исходные кривые'!$B$18:$L$18,1,1),IF(G46&gt;=MAX('Исходные кривые'!$B$17:$L$17),INDEX('Исходные кривые'!$B$18:$L$18,1,COLUMNS('Исходные кривые'!$B$18:$L$18)),INDEX('Исходные кривые'!$B$18:$L$18,1,MATCH(G46,'Исходные кривые'!$B$17:$L$17,1))+(G46-INDEX('Исходные кривые'!$B$17:$L$17,1,MATCH(G46,'Исходные кривые'!$B$17:$L$17,1)))*(INDEX('Исходные кривые'!$B$18:$L$18,1,MATCH(G46,'Исходные кривые'!$B$17:$L$17,1)+1)-INDEX('Исходные кривые'!$B$18:$L$18,1,MATCH(G46,'Исходные кривые'!$B$17:$L$17,1)))/(INDEX('Исходные кривые'!$B$17:$L$17,1,MATCH(G46,'Исходные кривые'!$B$17:$L$17,1)+1)-INDEX('Исходные кривые'!$B$17:$L$17,1,MATCH(G46,'Исходные кривые'!$B$17:$L$17,1)))))</x:f>
        <x:v>5.4</x:v>
      </x:c>
      <x:c r="M46" s="169" t="n">
        <x:f>IF(G46&lt;=MIN('Исходные кривые'!$B$17:$L$17),INDEX('Исходные кривые'!$B$19:$L$19,1,1),IF(G46&gt;=MAX('Исходные кривые'!$B$17:$L$17),INDEX('Исходные кривые'!$B$19:$L$19,1,COLUMNS('Исходные кривые'!$B$19:$L$19)),INDEX('Исходные кривые'!$B$19:$L$19,1,MATCH(G46,'Исходные кривые'!$B$17:$L$17,1))+(G46-INDEX('Исходные кривые'!$B$17:$L$17,1,MATCH(G46,'Исходные кривые'!$B$17:$L$17,1)))*(INDEX('Исходные кривые'!$B$19:$L$19,1,MATCH(G46,'Исходные кривые'!$B$17:$L$17,1)+1)-INDEX('Исходные кривые'!$B$19:$L$19,1,MATCH(G46,'Исходные кривые'!$B$17:$L$17,1)))/(INDEX('Исходные кривые'!$B$17:$L$17,1,MATCH(G46,'Исходные кривые'!$B$17:$L$17,1)+1)-INDEX('Исходные кривые'!$B$17:$L$17,1,MATCH(G46,'Исходные кривые'!$B$17:$L$17,1)))))</x:f>
        <x:v>-1.9</x:v>
      </x:c>
    </x:row>
    <x:row r="47">
      <x:c r="A47" s="86" t="str">
        <x:v>Своп 2</x:v>
      </x:c>
      <x:c r="B47" s="127" t="n">
        <x:v>46935</x:v>
      </x:c>
      <x:c r="C47" s="127" t="n">
        <x:v>48761</x:v>
      </x:c>
      <x:c r="D47" s="86" t="n">
        <x:v>18</x:v>
      </x:c>
      <x:c r="E47" s="127" t="n">
        <x:v>48580</x:v>
      </x:c>
      <x:c r="F47" s="168" t="n">
        <x:f>E47-'Настройки'!$B$4</x:f>
        <x:v>2377</x:v>
      </x:c>
      <x:c r="G47" s="169" t="n">
        <x:f>F47/'Настройки'!$B$5</x:f>
        <x:v>6.512328767123288</x:v>
      </x:c>
      <x:c r="H47" s="169" t="n">
        <x:f>IF(G47&lt;=MIN('Исходные кривые'!$B$4:$L$4),INDEX('Исходные кривые'!$B$5:$L$5,1,1),IF(G47&gt;=MAX('Исходные кривые'!$B$4:$L$4),INDEX('Исходные кривые'!$B$5:$L$5,1,COLUMNS('Исходные кривые'!$B$5:$L$5)),INDEX('Исходные кривые'!$B$5:$L$5,1,MATCH(G47,'Исходные кривые'!$B$4:$L$4,1))+(G47-INDEX('Исходные кривые'!$B$4:$L$4,1,MATCH(G47,'Исходные кривые'!$B$4:$L$4,1)))*(INDEX('Исходные кривые'!$B$5:$L$5,1,MATCH(G47,'Исходные кривые'!$B$4:$L$4,1)+1)-INDEX('Исходные кривые'!$B$5:$L$5,1,MATCH(G47,'Исходные кривые'!$B$4:$L$4,1)))/(INDEX('Исходные кривые'!$B$4:$L$4,1,MATCH(G47,'Исходные кривые'!$B$4:$L$4,1)+1)-INDEX('Исходные кривые'!$B$4:$L$4,1,MATCH(G47,'Исходные кривые'!$B$4:$L$4,1)))))</x:f>
        <x:v>15.84345205479452</x:v>
      </x:c>
      <x:c r="I47" s="169" t="n">
        <x:f>IF(G47&lt;=MIN('Исходные кривые'!$B$8:$N$8),INDEX('Исходные кривые'!$B$9:$N$9,1,1),IF(G47&gt;=MAX('Исходные кривые'!$B$8:$N$8),INDEX('Исходные кривые'!$B$9:$N$9,1,COLUMNS('Исходные кривые'!$B$9:$N$9)),INDEX('Исходные кривые'!$B$9:$N$9,1,MATCH(G47,'Исходные кривые'!$B$8:$N$8,1))+(G47-INDEX('Исходные кривые'!$B$8:$N$8,1,MATCH(G47,'Исходные кривые'!$B$8:$N$8,1)))*(INDEX('Исходные кривые'!$B$9:$N$9,1,MATCH(G47,'Исходные кривые'!$B$8:$N$8,1)+1)-INDEX('Исходные кривые'!$B$9:$N$9,1,MATCH(G47,'Исходные кривые'!$B$8:$N$8,1)))/(INDEX('Исходные кривые'!$B$8:$N$8,1,MATCH(G47,'Исходные кривые'!$B$8:$N$8,1)+1)-INDEX('Исходные кривые'!$B$8:$N$8,1,MATCH(G47,'Исходные кривые'!$B$8:$N$8,1)))))</x:f>
        <x:v>17.843452054794522</x:v>
      </x:c>
      <x:c r="J47" s="169" t="n">
        <x:f>IF(G47&lt;=MIN('Исходные кривые'!$B$12:$K$12),INDEX('Исходные кривые'!$B$13:$K$13,1,1),IF(G47&gt;=MAX('Исходные кривые'!$B$12:$K$12),INDEX('Исходные кривые'!$B$13:$K$13,1,COLUMNS('Исходные кривые'!$B$13:$K$13)),INDEX('Исходные кривые'!$B$13:$K$13,1,MATCH(G47,'Исходные кривые'!$B$12:$K$12,1))+(G47-INDEX('Исходные кривые'!$B$12:$K$12,1,MATCH(G47,'Исходные кривые'!$B$12:$K$12,1)))*(INDEX('Исходные кривые'!$B$13:$K$13,1,MATCH(G47,'Исходные кривые'!$B$12:$K$12,1)+1)-INDEX('Исходные кривые'!$B$13:$K$13,1,MATCH(G47,'Исходные кривые'!$B$12:$K$12,1)))/(INDEX('Исходные кривые'!$B$12:$K$12,1,MATCH(G47,'Исходные кривые'!$B$12:$K$12,1)+1)-INDEX('Исходные кривые'!$B$12:$K$12,1,MATCH(G47,'Исходные кривые'!$B$12:$K$12,1)))))</x:f>
        <x:v>43.463013698630135</x:v>
      </x:c>
      <x:c r="K47" s="169" t="n">
        <x:f>IF(G47&lt;=MIN('Исходные кривые'!$B$12:$K$12),INDEX('Исходные кривые'!$B$14:$K$14,1,1),IF(G47&gt;=MAX('Исходные кривые'!$B$12:$K$12),INDEX('Исходные кривые'!$B$14:$K$14,1,COLUMNS('Исходные кривые'!$B$14:$K$14)),INDEX('Исходные кривые'!$B$14:$K$14,1,MATCH(G47,'Исходные кривые'!$B$12:$K$12,1))+(G47-INDEX('Исходные кривые'!$B$12:$K$12,1,MATCH(G47,'Исходные кривые'!$B$12:$K$12,1)))*(INDEX('Исходные кривые'!$B$14:$K$14,1,MATCH(G47,'Исходные кривые'!$B$12:$K$12,1)+1)-INDEX('Исходные кривые'!$B$14:$K$14,1,MATCH(G47,'Исходные кривые'!$B$12:$K$12,1)))/(INDEX('Исходные кривые'!$B$12:$K$12,1,MATCH(G47,'Исходные кривые'!$B$12:$K$12,1)+1)-INDEX('Исходные кривые'!$B$12:$K$12,1,MATCH(G47,'Исходные кривые'!$B$12:$K$12,1)))))</x:f>
        <x:v>-26.243835616438357</x:v>
      </x:c>
      <x:c r="L47" s="169" t="n">
        <x:f>IF(G47&lt;=MIN('Исходные кривые'!$B$17:$L$17),INDEX('Исходные кривые'!$B$18:$L$18,1,1),IF(G47&gt;=MAX('Исходные кривые'!$B$17:$L$17),INDEX('Исходные кривые'!$B$18:$L$18,1,COLUMNS('Исходные кривые'!$B$18:$L$18)),INDEX('Исходные кривые'!$B$18:$L$18,1,MATCH(G47,'Исходные кривые'!$B$17:$L$17,1))+(G47-INDEX('Исходные кривые'!$B$17:$L$17,1,MATCH(G47,'Исходные кривые'!$B$17:$L$17,1)))*(INDEX('Исходные кривые'!$B$18:$L$18,1,MATCH(G47,'Исходные кривые'!$B$17:$L$17,1)+1)-INDEX('Исходные кривые'!$B$18:$L$18,1,MATCH(G47,'Исходные кривые'!$B$17:$L$17,1)))/(INDEX('Исходные кривые'!$B$17:$L$17,1,MATCH(G47,'Исходные кривые'!$B$17:$L$17,1)+1)-INDEX('Исходные кривые'!$B$17:$L$17,1,MATCH(G47,'Исходные кривые'!$B$17:$L$17,1)))))</x:f>
        <x:v>5.4</x:v>
      </x:c>
      <x:c r="M47" s="169" t="n">
        <x:f>IF(G47&lt;=MIN('Исходные кривые'!$B$17:$L$17),INDEX('Исходные кривые'!$B$19:$L$19,1,1),IF(G47&gt;=MAX('Исходные кривые'!$B$17:$L$17),INDEX('Исходные кривые'!$B$19:$L$19,1,COLUMNS('Исходные кривые'!$B$19:$L$19)),INDEX('Исходные кривые'!$B$19:$L$19,1,MATCH(G47,'Исходные кривые'!$B$17:$L$17,1))+(G47-INDEX('Исходные кривые'!$B$17:$L$17,1,MATCH(G47,'Исходные кривые'!$B$17:$L$17,1)))*(INDEX('Исходные кривые'!$B$19:$L$19,1,MATCH(G47,'Исходные кривые'!$B$17:$L$17,1)+1)-INDEX('Исходные кривые'!$B$19:$L$19,1,MATCH(G47,'Исходные кривые'!$B$17:$L$17,1)))/(INDEX('Исходные кривые'!$B$17:$L$17,1,MATCH(G47,'Исходные кривые'!$B$17:$L$17,1)+1)-INDEX('Исходные кривые'!$B$17:$L$17,1,MATCH(G47,'Исходные кривые'!$B$17:$L$17,1)))))</x:f>
        <x:v>-1.9</x:v>
      </x:c>
    </x:row>
    <x:row r="48">
      <x:c r="A48" s="86" t="str">
        <x:v>Своп 2</x:v>
      </x:c>
      <x:c r="B48" s="127" t="n">
        <x:v>46935</x:v>
      </x:c>
      <x:c r="C48" s="127" t="n">
        <x:v>48761</x:v>
      </x:c>
      <x:c r="D48" s="86" t="n">
        <x:v>19</x:v>
      </x:c>
      <x:c r="E48" s="127" t="n">
        <x:v>48670</x:v>
      </x:c>
      <x:c r="F48" s="168" t="n">
        <x:f>E48-'Настройки'!$B$4</x:f>
        <x:v>2467</x:v>
      </x:c>
      <x:c r="G48" s="169" t="n">
        <x:f>F48/'Настройки'!$B$5</x:f>
        <x:v>6.758904109589041</x:v>
      </x:c>
      <x:c r="H48" s="169" t="n">
        <x:f>IF(G48&lt;=MIN('Исходные кривые'!$B$4:$L$4),INDEX('Исходные кривые'!$B$5:$L$5,1,1),IF(G48&gt;=MAX('Исходные кривые'!$B$4:$L$4),INDEX('Исходные кривые'!$B$5:$L$5,1,COLUMNS('Исходные кривые'!$B$5:$L$5)),INDEX('Исходные кривые'!$B$5:$L$5,1,MATCH(G48,'Исходные кривые'!$B$4:$L$4,1))+(G48-INDEX('Исходные кривые'!$B$4:$L$4,1,MATCH(G48,'Исходные кривые'!$B$4:$L$4,1)))*(INDEX('Исходные кривые'!$B$5:$L$5,1,MATCH(G48,'Исходные кривые'!$B$4:$L$4,1)+1)-INDEX('Исходные кривые'!$B$5:$L$5,1,MATCH(G48,'Исходные кривые'!$B$4:$L$4,1)))/(INDEX('Исходные кривые'!$B$4:$L$4,1,MATCH(G48,'Исходные кривые'!$B$4:$L$4,1)+1)-INDEX('Исходные кривые'!$B$4:$L$4,1,MATCH(G48,'Исходные кривые'!$B$4:$L$4,1)))))</x:f>
        <x:v>15.912493150684933</x:v>
      </x:c>
      <x:c r="I48" s="169" t="n">
        <x:f>IF(G48&lt;=MIN('Исходные кривые'!$B$8:$N$8),INDEX('Исходные кривые'!$B$9:$N$9,1,1),IF(G48&gt;=MAX('Исходные кривые'!$B$8:$N$8),INDEX('Исходные кривые'!$B$9:$N$9,1,COLUMNS('Исходные кривые'!$B$9:$N$9)),INDEX('Исходные кривые'!$B$9:$N$9,1,MATCH(G48,'Исходные кривые'!$B$8:$N$8,1))+(G48-INDEX('Исходные кривые'!$B$8:$N$8,1,MATCH(G48,'Исходные кривые'!$B$8:$N$8,1)))*(INDEX('Исходные кривые'!$B$9:$N$9,1,MATCH(G48,'Исходные кривые'!$B$8:$N$8,1)+1)-INDEX('Исходные кривые'!$B$9:$N$9,1,MATCH(G48,'Исходные кривые'!$B$8:$N$8,1)))/(INDEX('Исходные кривые'!$B$8:$N$8,1,MATCH(G48,'Исходные кривые'!$B$8:$N$8,1)+1)-INDEX('Исходные кривые'!$B$8:$N$8,1,MATCH(G48,'Исходные кривые'!$B$8:$N$8,1)))))</x:f>
        <x:v>17.91249315068493</x:v>
      </x:c>
      <x:c r="J48" s="169" t="n">
        <x:f>IF(G48&lt;=MIN('Исходные кривые'!$B$12:$K$12),INDEX('Исходные кривые'!$B$13:$K$13,1,1),IF(G48&gt;=MAX('Исходные кривые'!$B$12:$K$12),INDEX('Исходные кривые'!$B$13:$K$13,1,COLUMNS('Исходные кривые'!$B$13:$K$13)),INDEX('Исходные кривые'!$B$13:$K$13,1,MATCH(G48,'Исходные кривые'!$B$12:$K$12,1))+(G48-INDEX('Исходные кривые'!$B$12:$K$12,1,MATCH(G48,'Исходные кривые'!$B$12:$K$12,1)))*(INDEX('Исходные кривые'!$B$13:$K$13,1,MATCH(G48,'Исходные кривые'!$B$12:$K$12,1)+1)-INDEX('Исходные кривые'!$B$13:$K$13,1,MATCH(G48,'Исходные кривые'!$B$12:$K$12,1)))/(INDEX('Исходные кривые'!$B$12:$K$12,1,MATCH(G48,'Исходные кривые'!$B$12:$K$12,1)+1)-INDEX('Исходные кривые'!$B$12:$K$12,1,MATCH(G48,'Исходные кривые'!$B$12:$K$12,1)))))</x:f>
        <x:v>42.723287671232875</x:v>
      </x:c>
      <x:c r="K48" s="169" t="n">
        <x:f>IF(G48&lt;=MIN('Исходные кривые'!$B$12:$K$12),INDEX('Исходные кривые'!$B$14:$K$14,1,1),IF(G48&gt;=MAX('Исходные кривые'!$B$12:$K$12),INDEX('Исходные кривые'!$B$14:$K$14,1,COLUMNS('Исходные кривые'!$B$14:$K$14)),INDEX('Исходные кривые'!$B$14:$K$14,1,MATCH(G48,'Исходные кривые'!$B$12:$K$12,1))+(G48-INDEX('Исходные кривые'!$B$12:$K$12,1,MATCH(G48,'Исходные кривые'!$B$12:$K$12,1)))*(INDEX('Исходные кривые'!$B$14:$K$14,1,MATCH(G48,'Исходные кривые'!$B$12:$K$12,1)+1)-INDEX('Исходные кривые'!$B$14:$K$14,1,MATCH(G48,'Исходные кривые'!$B$12:$K$12,1)))/(INDEX('Исходные кривые'!$B$12:$K$12,1,MATCH(G48,'Исходные кривые'!$B$12:$K$12,1)+1)-INDEX('Исходные кривые'!$B$12:$K$12,1,MATCH(G48,'Исходные кривые'!$B$12:$K$12,1)))))</x:f>
        <x:v>-26.12054794520548</x:v>
      </x:c>
      <x:c r="L48" s="169" t="n">
        <x:f>IF(G48&lt;=MIN('Исходные кривые'!$B$17:$L$17),INDEX('Исходные кривые'!$B$18:$L$18,1,1),IF(G48&gt;=MAX('Исходные кривые'!$B$17:$L$17),INDEX('Исходные кривые'!$B$18:$L$18,1,COLUMNS('Исходные кривые'!$B$18:$L$18)),INDEX('Исходные кривые'!$B$18:$L$18,1,MATCH(G48,'Исходные кривые'!$B$17:$L$17,1))+(G48-INDEX('Исходные кривые'!$B$17:$L$17,1,MATCH(G48,'Исходные кривые'!$B$17:$L$17,1)))*(INDEX('Исходные кривые'!$B$18:$L$18,1,MATCH(G48,'Исходные кривые'!$B$17:$L$17,1)+1)-INDEX('Исходные кривые'!$B$18:$L$18,1,MATCH(G48,'Исходные кривые'!$B$17:$L$17,1)))/(INDEX('Исходные кривые'!$B$17:$L$17,1,MATCH(G48,'Исходные кривые'!$B$17:$L$17,1)+1)-INDEX('Исходные кривые'!$B$17:$L$17,1,MATCH(G48,'Исходные кривые'!$B$17:$L$17,1)))))</x:f>
        <x:v>5.4</x:v>
      </x:c>
      <x:c r="M48" s="169" t="n">
        <x:f>IF(G48&lt;=MIN('Исходные кривые'!$B$17:$L$17),INDEX('Исходные кривые'!$B$19:$L$19,1,1),IF(G48&gt;=MAX('Исходные кривые'!$B$17:$L$17),INDEX('Исходные кривые'!$B$19:$L$19,1,COLUMNS('Исходные кривые'!$B$19:$L$19)),INDEX('Исходные кривые'!$B$19:$L$19,1,MATCH(G48,'Исходные кривые'!$B$17:$L$17,1))+(G48-INDEX('Исходные кривые'!$B$17:$L$17,1,MATCH(G48,'Исходные кривые'!$B$17:$L$17,1)))*(INDEX('Исходные кривые'!$B$19:$L$19,1,MATCH(G48,'Исходные кривые'!$B$17:$L$17,1)+1)-INDEX('Исходные кривые'!$B$19:$L$19,1,MATCH(G48,'Исходные кривые'!$B$17:$L$17,1)))/(INDEX('Исходные кривые'!$B$17:$L$17,1,MATCH(G48,'Исходные кривые'!$B$17:$L$17,1)+1)-INDEX('Исходные кривые'!$B$17:$L$17,1,MATCH(G48,'Исходные кривые'!$B$17:$L$17,1)))))</x:f>
        <x:v>-1.9</x:v>
      </x:c>
    </x:row>
    <x:row r="49">
      <x:c r="A49" s="86" t="str">
        <x:v>Своп 2</x:v>
      </x:c>
      <x:c r="B49" s="127" t="n">
        <x:v>46935</x:v>
      </x:c>
      <x:c r="C49" s="127" t="n">
        <x:v>48761</x:v>
      </x:c>
      <x:c r="D49" s="86" t="n">
        <x:v>20</x:v>
      </x:c>
      <x:c r="E49" s="127" t="n">
        <x:v>48761</x:v>
      </x:c>
      <x:c r="F49" s="168" t="n">
        <x:f>E49-'Настройки'!$B$4</x:f>
        <x:v>2558</x:v>
      </x:c>
      <x:c r="G49" s="169" t="n">
        <x:f>F49/'Настройки'!$B$5</x:f>
        <x:v>7.008219178082192</x:v>
      </x:c>
      <x:c r="H49" s="169" t="n">
        <x:f>IF(G49&lt;=MIN('Исходные кривые'!$B$4:$L$4),INDEX('Исходные кривые'!$B$5:$L$5,1,1),IF(G49&gt;=MAX('Исходные кривые'!$B$4:$L$4),INDEX('Исходные кривые'!$B$5:$L$5,1,COLUMNS('Исходные кривые'!$B$5:$L$5)),INDEX('Исходные кривые'!$B$5:$L$5,1,MATCH(G49,'Исходные кривые'!$B$4:$L$4,1))+(G49-INDEX('Исходные кривые'!$B$4:$L$4,1,MATCH(G49,'Исходные кривые'!$B$4:$L$4,1)))*(INDEX('Исходные кривые'!$B$5:$L$5,1,MATCH(G49,'Исходные кривые'!$B$4:$L$4,1)+1)-INDEX('Исходные кривые'!$B$5:$L$5,1,MATCH(G49,'Исходные кривые'!$B$4:$L$4,1)))/(INDEX('Исходные кривые'!$B$4:$L$4,1,MATCH(G49,'Исходные кривые'!$B$4:$L$4,1)+1)-INDEX('Исходные кривые'!$B$4:$L$4,1,MATCH(G49,'Исходные кривые'!$B$4:$L$4,1)))))</x:f>
        <x:v>15.981095890410959</x:v>
      </x:c>
      <x:c r="I49" s="169" t="n">
        <x:f>IF(G49&lt;=MIN('Исходные кривые'!$B$8:$N$8),INDEX('Исходные кривые'!$B$9:$N$9,1,1),IF(G49&gt;=MAX('Исходные кривые'!$B$8:$N$8),INDEX('Исходные кривые'!$B$9:$N$9,1,COLUMNS('Исходные кривые'!$B$9:$N$9)),INDEX('Исходные кривые'!$B$9:$N$9,1,MATCH(G49,'Исходные кривые'!$B$8:$N$8,1))+(G49-INDEX('Исходные кривые'!$B$8:$N$8,1,MATCH(G49,'Исходные кривые'!$B$8:$N$8,1)))*(INDEX('Исходные кривые'!$B$9:$N$9,1,MATCH(G49,'Исходные кривые'!$B$8:$N$8,1)+1)-INDEX('Исходные кривые'!$B$9:$N$9,1,MATCH(G49,'Исходные кривые'!$B$8:$N$8,1)))/(INDEX('Исходные кривые'!$B$8:$N$8,1,MATCH(G49,'Исходные кривые'!$B$8:$N$8,1)+1)-INDEX('Исходные кривые'!$B$8:$N$8,1,MATCH(G49,'Исходные кривые'!$B$8:$N$8,1)))))</x:f>
        <x:v>17.98109589041096</x:v>
      </x:c>
      <x:c r="J49" s="169" t="n">
        <x:f>IF(G49&lt;=MIN('Исходные кривые'!$B$12:$K$12),INDEX('Исходные кривые'!$B$13:$K$13,1,1),IF(G49&gt;=MAX('Исходные кривые'!$B$12:$K$12),INDEX('Исходные кривые'!$B$13:$K$13,1,COLUMNS('Исходные кривые'!$B$13:$K$13)),INDEX('Исходные кривые'!$B$13:$K$13,1,MATCH(G49,'Исходные кривые'!$B$12:$K$12,1))+(G49-INDEX('Исходные кривые'!$B$12:$K$12,1,MATCH(G49,'Исходные кривые'!$B$12:$K$12,1)))*(INDEX('Исходные кривые'!$B$13:$K$13,1,MATCH(G49,'Исходные кривые'!$B$12:$K$12,1)+1)-INDEX('Исходные кривые'!$B$13:$K$13,1,MATCH(G49,'Исходные кривые'!$B$12:$K$12,1)))/(INDEX('Исходные кривые'!$B$12:$K$12,1,MATCH(G49,'Исходные кривые'!$B$12:$K$12,1)+1)-INDEX('Исходные кривые'!$B$12:$K$12,1,MATCH(G49,'Исходные кривые'!$B$12:$K$12,1)))))</x:f>
        <x:v>41.97808219178082</x:v>
      </x:c>
      <x:c r="K49" s="169" t="n">
        <x:f>IF(G49&lt;=MIN('Исходные кривые'!$B$12:$K$12),INDEX('Исходные кривые'!$B$14:$K$14,1,1),IF(G49&gt;=MAX('Исходные кривые'!$B$12:$K$12),INDEX('Исходные кривые'!$B$14:$K$14,1,COLUMNS('Исходные кривые'!$B$14:$K$14)),INDEX('Исходные кривые'!$B$14:$K$14,1,MATCH(G49,'Исходные кривые'!$B$12:$K$12,1))+(G49-INDEX('Исходные кривые'!$B$12:$K$12,1,MATCH(G49,'Исходные кривые'!$B$12:$K$12,1)))*(INDEX('Исходные кривые'!$B$14:$K$14,1,MATCH(G49,'Исходные кривые'!$B$12:$K$12,1)+1)-INDEX('Исходные кривые'!$B$14:$K$14,1,MATCH(G49,'Исходные кривые'!$B$12:$K$12,1)))/(INDEX('Исходные кривые'!$B$12:$K$12,1,MATCH(G49,'Исходные кривые'!$B$12:$K$12,1)+1)-INDEX('Исходные кривые'!$B$12:$K$12,1,MATCH(G49,'Исходные кривые'!$B$12:$K$12,1)))))</x:f>
        <x:v>-25.994520547945207</x:v>
      </x:c>
      <x:c r="L49" s="169" t="n">
        <x:f>IF(G49&lt;=MIN('Исходные кривые'!$B$17:$L$17),INDEX('Исходные кривые'!$B$18:$L$18,1,1),IF(G49&gt;=MAX('Исходные кривые'!$B$17:$L$17),INDEX('Исходные кривые'!$B$18:$L$18,1,COLUMNS('Исходные кривые'!$B$18:$L$18)),INDEX('Исходные кривые'!$B$18:$L$18,1,MATCH(G49,'Исходные кривые'!$B$17:$L$17,1))+(G49-INDEX('Исходные кривые'!$B$17:$L$17,1,MATCH(G49,'Исходные кривые'!$B$17:$L$17,1)))*(INDEX('Исходные кривые'!$B$18:$L$18,1,MATCH(G49,'Исходные кривые'!$B$17:$L$17,1)+1)-INDEX('Исходные кривые'!$B$18:$L$18,1,MATCH(G49,'Исходные кривые'!$B$17:$L$17,1)))/(INDEX('Исходные кривые'!$B$17:$L$17,1,MATCH(G49,'Исходные кривые'!$B$17:$L$17,1)+1)-INDEX('Исходные кривые'!$B$17:$L$17,1,MATCH(G49,'Исходные кривые'!$B$17:$L$17,1)))))</x:f>
        <x:v>5.4</x:v>
      </x:c>
      <x:c r="M49" s="169" t="n">
        <x:f>IF(G49&lt;=MIN('Исходные кривые'!$B$17:$L$17),INDEX('Исходные кривые'!$B$19:$L$19,1,1),IF(G49&gt;=MAX('Исходные кривые'!$B$17:$L$17),INDEX('Исходные кривые'!$B$19:$L$19,1,COLUMNS('Исходные кривые'!$B$19:$L$19)),INDEX('Исходные кривые'!$B$19:$L$19,1,MATCH(G49,'Исходные кривые'!$B$17:$L$17,1))+(G49-INDEX('Исходные кривые'!$B$17:$L$17,1,MATCH(G49,'Исходные кривые'!$B$17:$L$17,1)))*(INDEX('Исходные кривые'!$B$19:$L$19,1,MATCH(G49,'Исходные кривые'!$B$17:$L$17,1)+1)-INDEX('Исходные кривые'!$B$19:$L$19,1,MATCH(G49,'Исходные кривые'!$B$17:$L$17,1)))/(INDEX('Исходные кривые'!$B$17:$L$17,1,MATCH(G49,'Исходные кривые'!$B$17:$L$17,1)+1)-INDEX('Исходные кривые'!$B$17:$L$17,1,MATCH(G49,'Исходные кривые'!$B$17:$L$17,1)))))</x:f>
        <x:v>-1.9</x:v>
      </x:c>
    </x:row>
    <x:row r="50">
      <x:c r="A50" s="140" t="str">
        <x:v>Своп 3</x:v>
      </x:c>
      <x:c r="B50" s="141" t="n">
        <x:v>47300</x:v>
      </x:c>
      <x:c r="C50" s="141" t="n">
        <x:v>49126</x:v>
      </x:c>
      <x:c r="D50" s="140" t="n">
        <x:v>1</x:v>
      </x:c>
      <x:c r="E50" s="141" t="n">
        <x:v>47392</x:v>
      </x:c>
      <x:c r="F50" s="170" t="n">
        <x:f>E50-'Настройки'!$B$4</x:f>
        <x:v>1189</x:v>
      </x:c>
      <x:c r="G50" s="171" t="n">
        <x:f>F50/'Настройки'!$B$5</x:f>
        <x:v>3.2575342465753425</x:v>
      </x:c>
      <x:c r="H50" s="171" t="n">
        <x:f>IF(G50&lt;=MIN('Исходные кривые'!$B$4:$L$4),INDEX('Исходные кривые'!$B$5:$L$5,1,1),IF(G50&gt;=MAX('Исходные кривые'!$B$4:$L$4),INDEX('Исходные кривые'!$B$5:$L$5,1,COLUMNS('Исходные кривые'!$B$5:$L$5)),INDEX('Исходные кривые'!$B$5:$L$5,1,MATCH(G50,'Исходные кривые'!$B$4:$L$4,1))+(G50-INDEX('Исходные кривые'!$B$4:$L$4,1,MATCH(G50,'Исходные кривые'!$B$4:$L$4,1)))*(INDEX('Исходные кривые'!$B$5:$L$5,1,MATCH(G50,'Исходные кривые'!$B$4:$L$4,1)+1)-INDEX('Исходные кривые'!$B$5:$L$5,1,MATCH(G50,'Исходные кривые'!$B$4:$L$4,1)))/(INDEX('Исходные кривые'!$B$4:$L$4,1,MATCH(G50,'Исходные кривые'!$B$4:$L$4,1)+1)-INDEX('Исходные кривые'!$B$4:$L$4,1,MATCH(G50,'Исходные кривые'!$B$4:$L$4,1)))))</x:f>
        <x:v>14.592328767123288</x:v>
      </x:c>
      <x:c r="I50" s="171" t="n">
        <x:f>IF(G50&lt;=MIN('Исходные кривые'!$B$8:$N$8),INDEX('Исходные кривые'!$B$9:$N$9,1,1),IF(G50&gt;=MAX('Исходные кривые'!$B$8:$N$8),INDEX('Исходные кривые'!$B$9:$N$9,1,COLUMNS('Исходные кривые'!$B$9:$N$9)),INDEX('Исходные кривые'!$B$9:$N$9,1,MATCH(G50,'Исходные кривые'!$B$8:$N$8,1))+(G50-INDEX('Исходные кривые'!$B$8:$N$8,1,MATCH(G50,'Исходные кривые'!$B$8:$N$8,1)))*(INDEX('Исходные кривые'!$B$9:$N$9,1,MATCH(G50,'Исходные кривые'!$B$8:$N$8,1)+1)-INDEX('Исходные кривые'!$B$9:$N$9,1,MATCH(G50,'Исходные кривые'!$B$8:$N$8,1)))/(INDEX('Исходные кривые'!$B$8:$N$8,1,MATCH(G50,'Исходные кривые'!$B$8:$N$8,1)+1)-INDEX('Исходные кривые'!$B$8:$N$8,1,MATCH(G50,'Исходные кривые'!$B$8:$N$8,1)))))</x:f>
        <x:v>16.592328767123288</x:v>
      </x:c>
      <x:c r="J50" s="171" t="n">
        <x:f>IF(G50&lt;=MIN('Исходные кривые'!$B$12:$K$12),INDEX('Исходные кривые'!$B$13:$K$13,1,1),IF(G50&gt;=MAX('Исходные кривые'!$B$12:$K$12),INDEX('Исходные кривые'!$B$13:$K$13,1,COLUMNS('Исходные кривые'!$B$13:$K$13)),INDEX('Исходные кривые'!$B$13:$K$13,1,MATCH(G50,'Исходные кривые'!$B$12:$K$12,1))+(G50-INDEX('Исходные кривые'!$B$12:$K$12,1,MATCH(G50,'Исходные кривые'!$B$12:$K$12,1)))*(INDEX('Исходные кривые'!$B$13:$K$13,1,MATCH(G50,'Исходные кривые'!$B$12:$K$12,1)+1)-INDEX('Исходные кривые'!$B$13:$K$13,1,MATCH(G50,'Исходные кривые'!$B$12:$K$12,1)))/(INDEX('Исходные кривые'!$B$12:$K$12,1,MATCH(G50,'Исходные кривые'!$B$12:$K$12,1)+1)-INDEX('Исходные кривые'!$B$12:$K$12,1,MATCH(G50,'Исходные кривые'!$B$12:$K$12,1)))))</x:f>
        <x:v>53.227397260273975</x:v>
      </x:c>
      <x:c r="K50" s="171" t="n">
        <x:f>IF(G50&lt;=MIN('Исходные кривые'!$B$12:$K$12),INDEX('Исходные кривые'!$B$14:$K$14,1,1),IF(G50&gt;=MAX('Исходные кривые'!$B$12:$K$12),INDEX('Исходные кривые'!$B$14:$K$14,1,COLUMNS('Исходные кривые'!$B$14:$K$14)),INDEX('Исходные кривые'!$B$14:$K$14,1,MATCH(G50,'Исходные кривые'!$B$12:$K$12,1))+(G50-INDEX('Исходные кривые'!$B$12:$K$12,1,MATCH(G50,'Исходные кривые'!$B$12:$K$12,1)))*(INDEX('Исходные кривые'!$B$14:$K$14,1,MATCH(G50,'Исходные кривые'!$B$12:$K$12,1)+1)-INDEX('Исходные кривые'!$B$14:$K$14,1,MATCH(G50,'Исходные кривые'!$B$12:$K$12,1)))/(INDEX('Исходные кривые'!$B$12:$K$12,1,MATCH(G50,'Исходные кривые'!$B$12:$K$12,1)+1)-INDEX('Исходные кривые'!$B$12:$K$12,1,MATCH(G50,'Исходные кривые'!$B$12:$K$12,1)))))</x:f>
        <x:v>-27.87123287671233</x:v>
      </x:c>
      <x:c r="L50" s="171" t="n">
        <x:f>IF(G50&lt;=MIN('Исходные кривые'!$B$17:$L$17),INDEX('Исходные кривые'!$B$18:$L$18,1,1),IF(G50&gt;=MAX('Исходные кривые'!$B$17:$L$17),INDEX('Исходные кривые'!$B$18:$L$18,1,COLUMNS('Исходные кривые'!$B$18:$L$18)),INDEX('Исходные кривые'!$B$18:$L$18,1,MATCH(G50,'Исходные кривые'!$B$17:$L$17,1))+(G50-INDEX('Исходные кривые'!$B$17:$L$17,1,MATCH(G50,'Исходные кривые'!$B$17:$L$17,1)))*(INDEX('Исходные кривые'!$B$18:$L$18,1,MATCH(G50,'Исходные кривые'!$B$17:$L$17,1)+1)-INDEX('Исходные кривые'!$B$18:$L$18,1,MATCH(G50,'Исходные кривые'!$B$17:$L$17,1)))/(INDEX('Исходные кривые'!$B$17:$L$17,1,MATCH(G50,'Исходные кривые'!$B$17:$L$17,1)+1)-INDEX('Исходные кривые'!$B$17:$L$17,1,MATCH(G50,'Исходные кривые'!$B$17:$L$17,1)))))</x:f>
        <x:v>6.335616438356165</x:v>
      </x:c>
      <x:c r="M50" s="171" t="n">
        <x:f>IF(G50&lt;=MIN('Исходные кривые'!$B$17:$L$17),INDEX('Исходные кривые'!$B$19:$L$19,1,1),IF(G50&gt;=MAX('Исходные кривые'!$B$17:$L$17),INDEX('Исходные кривые'!$B$19:$L$19,1,COLUMNS('Исходные кривые'!$B$19:$L$19)),INDEX('Исходные кривые'!$B$19:$L$19,1,MATCH(G50,'Исходные кривые'!$B$17:$L$17,1))+(G50-INDEX('Исходные кривые'!$B$17:$L$17,1,MATCH(G50,'Исходные кривые'!$B$17:$L$17,1)))*(INDEX('Исходные кривые'!$B$19:$L$19,1,MATCH(G50,'Исходные кривые'!$B$17:$L$17,1)+1)-INDEX('Исходные кривые'!$B$19:$L$19,1,MATCH(G50,'Исходные кривые'!$B$17:$L$17,1)))/(INDEX('Исходные кривые'!$B$17:$L$17,1,MATCH(G50,'Исходные кривые'!$B$17:$L$17,1)+1)-INDEX('Исходные кривые'!$B$17:$L$17,1,MATCH(G50,'Исходные кривые'!$B$17:$L$17,1)))))</x:f>
        <x:v>-3.443972602739726</x:v>
      </x:c>
    </x:row>
    <x:row r="51">
      <x:c r="A51" s="128" t="str">
        <x:v>Своп 3</x:v>
      </x:c>
      <x:c r="B51" s="129" t="n">
        <x:v>47300</x:v>
      </x:c>
      <x:c r="C51" s="129" t="n">
        <x:v>49126</x:v>
      </x:c>
      <x:c r="D51" s="128" t="n">
        <x:v>2</x:v>
      </x:c>
      <x:c r="E51" s="129" t="n">
        <x:v>47484</x:v>
      </x:c>
      <x:c r="F51" s="172" t="n">
        <x:f>E51-'Настройки'!$B$4</x:f>
        <x:v>1281</x:v>
      </x:c>
      <x:c r="G51" s="173" t="n">
        <x:f>F51/'Настройки'!$B$5</x:f>
        <x:v>3.5095890410958903</x:v>
      </x:c>
      <x:c r="H51" s="173" t="n">
        <x:f>IF(G51&lt;=MIN('Исходные кривые'!$B$4:$L$4),INDEX('Исходные кривые'!$B$5:$L$5,1,1),IF(G51&gt;=MAX('Исходные кривые'!$B$4:$L$4),INDEX('Исходные кривые'!$B$5:$L$5,1,COLUMNS('Исходные кривые'!$B$5:$L$5)),INDEX('Исходные кривые'!$B$5:$L$5,1,MATCH(G51,'Исходные кривые'!$B$4:$L$4,1))+(G51-INDEX('Исходные кривые'!$B$4:$L$4,1,MATCH(G51,'Исходные кривые'!$B$4:$L$4,1)))*(INDEX('Исходные кривые'!$B$5:$L$5,1,MATCH(G51,'Исходные кривые'!$B$4:$L$4,1)+1)-INDEX('Исходные кривые'!$B$5:$L$5,1,MATCH(G51,'Исходные кривые'!$B$4:$L$4,1)))/(INDEX('Исходные кривые'!$B$4:$L$4,1,MATCH(G51,'Исходные кривые'!$B$4:$L$4,1)+1)-INDEX('Исходные кривые'!$B$4:$L$4,1,MATCH(G51,'Исходные кривые'!$B$4:$L$4,1)))))</x:f>
        <x:v>14.712054794520549</x:v>
      </x:c>
      <x:c r="I51" s="173" t="n">
        <x:f>IF(G51&lt;=MIN('Исходные кривые'!$B$8:$N$8),INDEX('Исходные кривые'!$B$9:$N$9,1,1),IF(G51&gt;=MAX('Исходные кривые'!$B$8:$N$8),INDEX('Исходные кривые'!$B$9:$N$9,1,COLUMNS('Исходные кривые'!$B$9:$N$9)),INDEX('Исходные кривые'!$B$9:$N$9,1,MATCH(G51,'Исходные кривые'!$B$8:$N$8,1))+(G51-INDEX('Исходные кривые'!$B$8:$N$8,1,MATCH(G51,'Исходные кривые'!$B$8:$N$8,1)))*(INDEX('Исходные кривые'!$B$9:$N$9,1,MATCH(G51,'Исходные кривые'!$B$8:$N$8,1)+1)-INDEX('Исходные кривые'!$B$9:$N$9,1,MATCH(G51,'Исходные кривые'!$B$8:$N$8,1)))/(INDEX('Исходные кривые'!$B$8:$N$8,1,MATCH(G51,'Исходные кривые'!$B$8:$N$8,1)+1)-INDEX('Исходные кривые'!$B$8:$N$8,1,MATCH(G51,'Исходные кривые'!$B$8:$N$8,1)))))</x:f>
        <x:v>16.712054794520547</x:v>
      </x:c>
      <x:c r="J51" s="173" t="n">
        <x:f>IF(G51&lt;=MIN('Исходные кривые'!$B$12:$K$12),INDEX('Исходные кривые'!$B$13:$K$13,1,1),IF(G51&gt;=MAX('Исходные кривые'!$B$12:$K$12),INDEX('Исходные кривые'!$B$13:$K$13,1,COLUMNS('Исходные кривые'!$B$13:$K$13)),INDEX('Исходные кривые'!$B$13:$K$13,1,MATCH(G51,'Исходные кривые'!$B$12:$K$12,1))+(G51-INDEX('Исходные кривые'!$B$12:$K$12,1,MATCH(G51,'Исходные кривые'!$B$12:$K$12,1)))*(INDEX('Исходные кривые'!$B$13:$K$13,1,MATCH(G51,'Исходные кривые'!$B$12:$K$12,1)+1)-INDEX('Исходные кривые'!$B$13:$K$13,1,MATCH(G51,'Исходные кривые'!$B$12:$K$12,1)))/(INDEX('Исходные кривые'!$B$12:$K$12,1,MATCH(G51,'Исходные кривые'!$B$12:$K$12,1)+1)-INDEX('Исходные кривые'!$B$12:$K$12,1,MATCH(G51,'Исходные кривые'!$B$12:$K$12,1)))))</x:f>
        <x:v>52.47123287671233</x:v>
      </x:c>
      <x:c r="K51" s="173" t="n">
        <x:f>IF(G51&lt;=MIN('Исходные кривые'!$B$12:$K$12),INDEX('Исходные кривые'!$B$14:$K$14,1,1),IF(G51&gt;=MAX('Исходные кривые'!$B$12:$K$12),INDEX('Исходные кривые'!$B$14:$K$14,1,COLUMNS('Исходные кривые'!$B$14:$K$14)),INDEX('Исходные кривые'!$B$14:$K$14,1,MATCH(G51,'Исходные кривые'!$B$12:$K$12,1))+(G51-INDEX('Исходные кривые'!$B$12:$K$12,1,MATCH(G51,'Исходные кривые'!$B$12:$K$12,1)))*(INDEX('Исходные кривые'!$B$14:$K$14,1,MATCH(G51,'Исходные кривые'!$B$12:$K$12,1)+1)-INDEX('Исходные кривые'!$B$14:$K$14,1,MATCH(G51,'Исходные кривые'!$B$12:$K$12,1)))/(INDEX('Исходные кривые'!$B$12:$K$12,1,MATCH(G51,'Исходные кривые'!$B$12:$K$12,1)+1)-INDEX('Исходные кривые'!$B$12:$K$12,1,MATCH(G51,'Исходные кривые'!$B$12:$K$12,1)))))</x:f>
        <x:v>-27.745205479452054</x:v>
      </x:c>
      <x:c r="L51" s="173" t="n">
        <x:f>IF(G51&lt;=MIN('Исходные кривые'!$B$17:$L$17),INDEX('Исходные кривые'!$B$18:$L$18,1,1),IF(G51&gt;=MAX('Исходные кривые'!$B$17:$L$17),INDEX('Исходные кривые'!$B$18:$L$18,1,COLUMNS('Исходные кривые'!$B$18:$L$18)),INDEX('Исходные кривые'!$B$18:$L$18,1,MATCH(G51,'Исходные кривые'!$B$17:$L$17,1))+(G51-INDEX('Исходные кривые'!$B$17:$L$17,1,MATCH(G51,'Исходные кривые'!$B$17:$L$17,1)))*(INDEX('Исходные кривые'!$B$18:$L$18,1,MATCH(G51,'Исходные кривые'!$B$17:$L$17,1)+1)-INDEX('Исходные кривые'!$B$18:$L$18,1,MATCH(G51,'Исходные кривые'!$B$17:$L$17,1)))/(INDEX('Исходные кривые'!$B$17:$L$17,1,MATCH(G51,'Исходные кривые'!$B$17:$L$17,1)+1)-INDEX('Исходные кривые'!$B$17:$L$17,1,MATCH(G51,'Исходные кривые'!$B$17:$L$17,1)))))</x:f>
        <x:v>6.272602739726028</x:v>
      </x:c>
      <x:c r="M51" s="173" t="n">
        <x:f>IF(G51&lt;=MIN('Исходные кривые'!$B$17:$L$17),INDEX('Исходные кривые'!$B$19:$L$19,1,1),IF(G51&gt;=MAX('Исходные кривые'!$B$17:$L$17),INDEX('Исходные кривые'!$B$19:$L$19,1,COLUMNS('Исходные кривые'!$B$19:$L$19)),INDEX('Исходные кривые'!$B$19:$L$19,1,MATCH(G51,'Исходные кривые'!$B$17:$L$17,1))+(G51-INDEX('Исходные кривые'!$B$17:$L$17,1,MATCH(G51,'Исходные кривые'!$B$17:$L$17,1)))*(INDEX('Исходные кривые'!$B$19:$L$19,1,MATCH(G51,'Исходные кривые'!$B$17:$L$17,1)+1)-INDEX('Исходные кривые'!$B$19:$L$19,1,MATCH(G51,'Исходные кривые'!$B$17:$L$17,1)))/(INDEX('Исходные кривые'!$B$17:$L$17,1,MATCH(G51,'Исходные кривые'!$B$17:$L$17,1)+1)-INDEX('Исходные кривые'!$B$17:$L$17,1,MATCH(G51,'Исходные кривые'!$B$17:$L$17,1)))))</x:f>
        <x:v>-3.2423287671232877</x:v>
      </x:c>
    </x:row>
    <x:row r="52">
      <x:c r="A52" s="128" t="str">
        <x:v>Своп 3</x:v>
      </x:c>
      <x:c r="B52" s="129" t="n">
        <x:v>47300</x:v>
      </x:c>
      <x:c r="C52" s="129" t="n">
        <x:v>49126</x:v>
      </x:c>
      <x:c r="D52" s="128" t="n">
        <x:v>3</x:v>
      </x:c>
      <x:c r="E52" s="129" t="n">
        <x:v>47574</x:v>
      </x:c>
      <x:c r="F52" s="172" t="n">
        <x:f>E52-'Настройки'!$B$4</x:f>
        <x:v>1371</x:v>
      </x:c>
      <x:c r="G52" s="173" t="n">
        <x:f>F52/'Настройки'!$B$5</x:f>
        <x:v>3.756164383561644</x:v>
      </x:c>
      <x:c r="H52" s="173" t="n">
        <x:f>IF(G52&lt;=MIN('Исходные кривые'!$B$4:$L$4),INDEX('Исходные кривые'!$B$5:$L$5,1,1),IF(G52&gt;=MAX('Исходные кривые'!$B$4:$L$4),INDEX('Исходные кривые'!$B$5:$L$5,1,COLUMNS('Исходные кривые'!$B$5:$L$5)),INDEX('Исходные кривые'!$B$5:$L$5,1,MATCH(G52,'Исходные кривые'!$B$4:$L$4,1))+(G52-INDEX('Исходные кривые'!$B$4:$L$4,1,MATCH(G52,'Исходные кривые'!$B$4:$L$4,1)))*(INDEX('Исходные кривые'!$B$5:$L$5,1,MATCH(G52,'Исходные кривые'!$B$4:$L$4,1)+1)-INDEX('Исходные кривые'!$B$5:$L$5,1,MATCH(G52,'Исходные кривые'!$B$4:$L$4,1)))/(INDEX('Исходные кривые'!$B$4:$L$4,1,MATCH(G52,'Исходные кривые'!$B$4:$L$4,1)+1)-INDEX('Исходные кривые'!$B$4:$L$4,1,MATCH(G52,'Исходные кривые'!$B$4:$L$4,1)))))</x:f>
        <x:v>14.829178082191781</x:v>
      </x:c>
      <x:c r="I52" s="173" t="n">
        <x:f>IF(G52&lt;=MIN('Исходные кривые'!$B$8:$N$8),INDEX('Исходные кривые'!$B$9:$N$9,1,1),IF(G52&gt;=MAX('Исходные кривые'!$B$8:$N$8),INDEX('Исходные кривые'!$B$9:$N$9,1,COLUMNS('Исходные кривые'!$B$9:$N$9)),INDEX('Исходные кривые'!$B$9:$N$9,1,MATCH(G52,'Исходные кривые'!$B$8:$N$8,1))+(G52-INDEX('Исходные кривые'!$B$8:$N$8,1,MATCH(G52,'Исходные кривые'!$B$8:$N$8,1)))*(INDEX('Исходные кривые'!$B$9:$N$9,1,MATCH(G52,'Исходные кривые'!$B$8:$N$8,1)+1)-INDEX('Исходные кривые'!$B$9:$N$9,1,MATCH(G52,'Исходные кривые'!$B$8:$N$8,1)))/(INDEX('Исходные кривые'!$B$8:$N$8,1,MATCH(G52,'Исходные кривые'!$B$8:$N$8,1)+1)-INDEX('Исходные кривые'!$B$8:$N$8,1,MATCH(G52,'Исходные кривые'!$B$8:$N$8,1)))))</x:f>
        <x:v>16.82917808219178</x:v>
      </x:c>
      <x:c r="J52" s="173" t="n">
        <x:f>IF(G52&lt;=MIN('Исходные кривые'!$B$12:$K$12),INDEX('Исходные кривые'!$B$13:$K$13,1,1),IF(G52&gt;=MAX('Исходные кривые'!$B$12:$K$12),INDEX('Исходные кривые'!$B$13:$K$13,1,COLUMNS('Исходные кривые'!$B$13:$K$13)),INDEX('Исходные кривые'!$B$13:$K$13,1,MATCH(G52,'Исходные кривые'!$B$12:$K$12,1))+(G52-INDEX('Исходные кривые'!$B$12:$K$12,1,MATCH(G52,'Исходные кривые'!$B$12:$K$12,1)))*(INDEX('Исходные кривые'!$B$13:$K$13,1,MATCH(G52,'Исходные кривые'!$B$12:$K$12,1)+1)-INDEX('Исходные кривые'!$B$13:$K$13,1,MATCH(G52,'Исходные кривые'!$B$12:$K$12,1)))/(INDEX('Исходные кривые'!$B$12:$K$12,1,MATCH(G52,'Исходные кривые'!$B$12:$K$12,1)+1)-INDEX('Исходные кривые'!$B$12:$K$12,1,MATCH(G52,'Исходные кривые'!$B$12:$K$12,1)))))</x:f>
        <x:v>51.73150684931507</x:v>
      </x:c>
      <x:c r="K52" s="173" t="n">
        <x:f>IF(G52&lt;=MIN('Исходные кривые'!$B$12:$K$12),INDEX('Исходные кривые'!$B$14:$K$14,1,1),IF(G52&gt;=MAX('Исходные кривые'!$B$12:$K$12),INDEX('Исходные кривые'!$B$14:$K$14,1,COLUMNS('Исходные кривые'!$B$14:$K$14)),INDEX('Исходные кривые'!$B$14:$K$14,1,MATCH(G52,'Исходные кривые'!$B$12:$K$12,1))+(G52-INDEX('Исходные кривые'!$B$12:$K$12,1,MATCH(G52,'Исходные кривые'!$B$12:$K$12,1)))*(INDEX('Исходные кривые'!$B$14:$K$14,1,MATCH(G52,'Исходные кривые'!$B$12:$K$12,1)+1)-INDEX('Исходные кривые'!$B$14:$K$14,1,MATCH(G52,'Исходные кривые'!$B$12:$K$12,1)))/(INDEX('Исходные кривые'!$B$12:$K$12,1,MATCH(G52,'Исходные кривые'!$B$12:$K$12,1)+1)-INDEX('Исходные кривые'!$B$12:$K$12,1,MATCH(G52,'Исходные кривые'!$B$12:$K$12,1)))))</x:f>
        <x:v>-27.621917808219177</x:v>
      </x:c>
      <x:c r="L52" s="173" t="n">
        <x:f>IF(G52&lt;=MIN('Исходные кривые'!$B$17:$L$17),INDEX('Исходные кривые'!$B$18:$L$18,1,1),IF(G52&gt;=MAX('Исходные кривые'!$B$17:$L$17),INDEX('Исходные кривые'!$B$18:$L$18,1,COLUMNS('Исходные кривые'!$B$18:$L$18)),INDEX('Исходные кривые'!$B$18:$L$18,1,MATCH(G52,'Исходные кривые'!$B$17:$L$17,1))+(G52-INDEX('Исходные кривые'!$B$17:$L$17,1,MATCH(G52,'Исходные кривые'!$B$17:$L$17,1)))*(INDEX('Исходные кривые'!$B$18:$L$18,1,MATCH(G52,'Исходные кривые'!$B$17:$L$17,1)+1)-INDEX('Исходные кривые'!$B$18:$L$18,1,MATCH(G52,'Исходные кривые'!$B$17:$L$17,1)))/(INDEX('Исходные кривые'!$B$17:$L$17,1,MATCH(G52,'Исходные кривые'!$B$17:$L$17,1)+1)-INDEX('Исходные кривые'!$B$17:$L$17,1,MATCH(G52,'Исходные кривые'!$B$17:$L$17,1)))))</x:f>
        <x:v>6.21095890410959</x:v>
      </x:c>
      <x:c r="M52" s="173" t="n">
        <x:f>IF(G52&lt;=MIN('Исходные кривые'!$B$17:$L$17),INDEX('Исходные кривые'!$B$19:$L$19,1,1),IF(G52&gt;=MAX('Исходные кривые'!$B$17:$L$17),INDEX('Исходные кривые'!$B$19:$L$19,1,COLUMNS('Исходные кривые'!$B$19:$L$19)),INDEX('Исходные кривые'!$B$19:$L$19,1,MATCH(G52,'Исходные кривые'!$B$17:$L$17,1))+(G52-INDEX('Исходные кривые'!$B$17:$L$17,1,MATCH(G52,'Исходные кривые'!$B$17:$L$17,1)))*(INDEX('Исходные кривые'!$B$19:$L$19,1,MATCH(G52,'Исходные кривые'!$B$17:$L$17,1)+1)-INDEX('Исходные кривые'!$B$19:$L$19,1,MATCH(G52,'Исходные кривые'!$B$17:$L$17,1)))/(INDEX('Исходные кривые'!$B$17:$L$17,1,MATCH(G52,'Исходные кривые'!$B$17:$L$17,1)+1)-INDEX('Исходные кривые'!$B$17:$L$17,1,MATCH(G52,'Исходные кривые'!$B$17:$L$17,1)))))</x:f>
        <x:v>-3.045068493150685</x:v>
      </x:c>
    </x:row>
    <x:row r="53">
      <x:c r="A53" s="128" t="str">
        <x:v>Своп 3</x:v>
      </x:c>
      <x:c r="B53" s="129" t="n">
        <x:v>47300</x:v>
      </x:c>
      <x:c r="C53" s="129" t="n">
        <x:v>49126</x:v>
      </x:c>
      <x:c r="D53" s="128" t="n">
        <x:v>4</x:v>
      </x:c>
      <x:c r="E53" s="129" t="n">
        <x:v>47665</x:v>
      </x:c>
      <x:c r="F53" s="172" t="n">
        <x:f>E53-'Настройки'!$B$4</x:f>
        <x:v>1462</x:v>
      </x:c>
      <x:c r="G53" s="173" t="n">
        <x:f>F53/'Настройки'!$B$5</x:f>
        <x:v>4.005479452054795</x:v>
      </x:c>
      <x:c r="H53" s="173" t="n">
        <x:f>IF(G53&lt;=MIN('Исходные кривые'!$B$4:$L$4),INDEX('Исходные кривые'!$B$5:$L$5,1,1),IF(G53&gt;=MAX('Исходные кривые'!$B$4:$L$4),INDEX('Исходные кривые'!$B$5:$L$5,1,COLUMNS('Исходные кривые'!$B$5:$L$5)),INDEX('Исходные кривые'!$B$5:$L$5,1,MATCH(G53,'Исходные кривые'!$B$4:$L$4,1))+(G53-INDEX('Исходные кривые'!$B$4:$L$4,1,MATCH(G53,'Исходные кривые'!$B$4:$L$4,1)))*(INDEX('Исходные кривые'!$B$5:$L$5,1,MATCH(G53,'Исходные кривые'!$B$4:$L$4,1)+1)-INDEX('Исходные кривые'!$B$5:$L$5,1,MATCH(G53,'Исходные кривые'!$B$4:$L$4,1)))/(INDEX('Исходные кривые'!$B$4:$L$4,1,MATCH(G53,'Исходные кривые'!$B$4:$L$4,1)+1)-INDEX('Исходные кривые'!$B$4:$L$4,1,MATCH(G53,'Исходные кривые'!$B$4:$L$4,1)))))</x:f>
        <x:v>14.947602739726028</x:v>
      </x:c>
      <x:c r="I53" s="173" t="n">
        <x:f>IF(G53&lt;=MIN('Исходные кривые'!$B$8:$N$8),INDEX('Исходные кривые'!$B$9:$N$9,1,1),IF(G53&gt;=MAX('Исходные кривые'!$B$8:$N$8),INDEX('Исходные кривые'!$B$9:$N$9,1,COLUMNS('Исходные кривые'!$B$9:$N$9)),INDEX('Исходные кривые'!$B$9:$N$9,1,MATCH(G53,'Исходные кривые'!$B$8:$N$8,1))+(G53-INDEX('Исходные кривые'!$B$8:$N$8,1,MATCH(G53,'Исходные кривые'!$B$8:$N$8,1)))*(INDEX('Исходные кривые'!$B$9:$N$9,1,MATCH(G53,'Исходные кривые'!$B$8:$N$8,1)+1)-INDEX('Исходные кривые'!$B$9:$N$9,1,MATCH(G53,'Исходные кривые'!$B$8:$N$8,1)))/(INDEX('Исходные кривые'!$B$8:$N$8,1,MATCH(G53,'Исходные кривые'!$B$8:$N$8,1)+1)-INDEX('Исходные кривые'!$B$8:$N$8,1,MATCH(G53,'Исходные кривые'!$B$8:$N$8,1)))))</x:f>
        <x:v>16.947602739726026</x:v>
      </x:c>
      <x:c r="J53" s="173" t="n">
        <x:f>IF(G53&lt;=MIN('Исходные кривые'!$B$12:$K$12),INDEX('Исходные кривые'!$B$13:$K$13,1,1),IF(G53&gt;=MAX('Исходные кривые'!$B$12:$K$12),INDEX('Исходные кривые'!$B$13:$K$13,1,COLUMNS('Исходные кривые'!$B$13:$K$13)),INDEX('Исходные кривые'!$B$13:$K$13,1,MATCH(G53,'Исходные кривые'!$B$12:$K$12,1))+(G53-INDEX('Исходные кривые'!$B$12:$K$12,1,MATCH(G53,'Исходные кривые'!$B$12:$K$12,1)))*(INDEX('Исходные кривые'!$B$13:$K$13,1,MATCH(G53,'Исходные кривые'!$B$12:$K$12,1)+1)-INDEX('Исходные кривые'!$B$13:$K$13,1,MATCH(G53,'Исходные кривые'!$B$12:$K$12,1)))/(INDEX('Исходные кривые'!$B$12:$K$12,1,MATCH(G53,'Исходные кривые'!$B$12:$K$12,1)+1)-INDEX('Исходные кривые'!$B$12:$K$12,1,MATCH(G53,'Исходные кривые'!$B$12:$K$12,1)))))</x:f>
        <x:v>50.983561643835614</x:v>
      </x:c>
      <x:c r="K53" s="173" t="n">
        <x:f>IF(G53&lt;=MIN('Исходные кривые'!$B$12:$K$12),INDEX('Исходные кривые'!$B$14:$K$14,1,1),IF(G53&gt;=MAX('Исходные кривые'!$B$12:$K$12),INDEX('Исходные кривые'!$B$14:$K$14,1,COLUMNS('Исходные кривые'!$B$14:$K$14)),INDEX('Исходные кривые'!$B$14:$K$14,1,MATCH(G53,'Исходные кривые'!$B$12:$K$12,1))+(G53-INDEX('Исходные кривые'!$B$12:$K$12,1,MATCH(G53,'Исходные кривые'!$B$12:$K$12,1)))*(INDEX('Исходные кривые'!$B$14:$K$14,1,MATCH(G53,'Исходные кривые'!$B$12:$K$12,1)+1)-INDEX('Исходные кривые'!$B$14:$K$14,1,MATCH(G53,'Исходные кривые'!$B$12:$K$12,1)))/(INDEX('Исходные кривые'!$B$12:$K$12,1,MATCH(G53,'Исходные кривые'!$B$12:$K$12,1)+1)-INDEX('Исходные кривые'!$B$12:$K$12,1,MATCH(G53,'Исходные кривые'!$B$12:$K$12,1)))))</x:f>
        <x:v>-27.497260273972604</x:v>
      </x:c>
      <x:c r="L53" s="173" t="n">
        <x:f>IF(G53&lt;=MIN('Исходные кривые'!$B$17:$L$17),INDEX('Исходные кривые'!$B$18:$L$18,1,1),IF(G53&gt;=MAX('Исходные кривые'!$B$17:$L$17),INDEX('Исходные кривые'!$B$18:$L$18,1,COLUMNS('Исходные кривые'!$B$18:$L$18)),INDEX('Исходные кривые'!$B$18:$L$18,1,MATCH(G53,'Исходные кривые'!$B$17:$L$17,1))+(G53-INDEX('Исходные кривые'!$B$17:$L$17,1,MATCH(G53,'Исходные кривые'!$B$17:$L$17,1)))*(INDEX('Исходные кривые'!$B$18:$L$18,1,MATCH(G53,'Исходные кривые'!$B$17:$L$17,1)+1)-INDEX('Исходные кривые'!$B$18:$L$18,1,MATCH(G53,'Исходные кривые'!$B$17:$L$17,1)))/(INDEX('Исходные кривые'!$B$17:$L$17,1,MATCH(G53,'Исходные кривые'!$B$17:$L$17,1)+1)-INDEX('Исходные кривые'!$B$17:$L$17,1,MATCH(G53,'Исходные кривые'!$B$17:$L$17,1)))))</x:f>
        <x:v>6.145890410958904</x:v>
      </x:c>
      <x:c r="M53" s="173" t="n">
        <x:f>IF(G53&lt;=MIN('Исходные кривые'!$B$17:$L$17),INDEX('Исходные кривые'!$B$19:$L$19,1,1),IF(G53&gt;=MAX('Исходные кривые'!$B$17:$L$17),INDEX('Исходные кривые'!$B$19:$L$19,1,COLUMNS('Исходные кривые'!$B$19:$L$19)),INDEX('Исходные кривые'!$B$19:$L$19,1,MATCH(G53,'Исходные кривые'!$B$17:$L$17,1))+(G53-INDEX('Исходные кривые'!$B$17:$L$17,1,MATCH(G53,'Исходные кривые'!$B$17:$L$17,1)))*(INDEX('Исходные кривые'!$B$19:$L$19,1,MATCH(G53,'Исходные кривые'!$B$17:$L$17,1)+1)-INDEX('Исходные кривые'!$B$19:$L$19,1,MATCH(G53,'Исходные кривые'!$B$17:$L$17,1)))/(INDEX('Исходные кривые'!$B$17:$L$17,1,MATCH(G53,'Исходные кривые'!$B$17:$L$17,1)+1)-INDEX('Исходные кривые'!$B$17:$L$17,1,MATCH(G53,'Исходные кривые'!$B$17:$L$17,1)))))</x:f>
        <x:v>-2.844794520547945</x:v>
      </x:c>
    </x:row>
    <x:row r="54">
      <x:c r="A54" s="128" t="str">
        <x:v>Своп 3</x:v>
      </x:c>
      <x:c r="B54" s="129" t="n">
        <x:v>47300</x:v>
      </x:c>
      <x:c r="C54" s="129" t="n">
        <x:v>49126</x:v>
      </x:c>
      <x:c r="D54" s="128" t="n">
        <x:v>5</x:v>
      </x:c>
      <x:c r="E54" s="129" t="n">
        <x:v>47757</x:v>
      </x:c>
      <x:c r="F54" s="172" t="n">
        <x:f>E54-'Настройки'!$B$4</x:f>
        <x:v>1554</x:v>
      </x:c>
      <x:c r="G54" s="173" t="n">
        <x:f>F54/'Настройки'!$B$5</x:f>
        <x:v>4.257534246575342</x:v>
      </x:c>
      <x:c r="H54" s="173" t="n">
        <x:f>IF(G54&lt;=MIN('Исходные кривые'!$B$4:$L$4),INDEX('Исходные кривые'!$B$5:$L$5,1,1),IF(G54&gt;=MAX('Исходные кривые'!$B$4:$L$4),INDEX('Исходные кривые'!$B$5:$L$5,1,COLUMNS('Исходные кривые'!$B$5:$L$5)),INDEX('Исходные кривые'!$B$5:$L$5,1,MATCH(G54,'Исходные кривые'!$B$4:$L$4,1))+(G54-INDEX('Исходные кривые'!$B$4:$L$4,1,MATCH(G54,'Исходные кривые'!$B$4:$L$4,1)))*(INDEX('Исходные кривые'!$B$5:$L$5,1,MATCH(G54,'Исходные кривые'!$B$4:$L$4,1)+1)-INDEX('Исходные кривые'!$B$5:$L$5,1,MATCH(G54,'Исходные кривые'!$B$4:$L$4,1)))/(INDEX('Исходные кривые'!$B$4:$L$4,1,MATCH(G54,'Исходные кривые'!$B$4:$L$4,1)+1)-INDEX('Исходные кривые'!$B$4:$L$4,1,MATCH(G54,'Исходные кривые'!$B$4:$L$4,1)))))</x:f>
        <x:v>15.067328767123287</x:v>
      </x:c>
      <x:c r="I54" s="173" t="n">
        <x:f>IF(G54&lt;=MIN('Исходные кривые'!$B$8:$N$8),INDEX('Исходные кривые'!$B$9:$N$9,1,1),IF(G54&gt;=MAX('Исходные кривые'!$B$8:$N$8),INDEX('Исходные кривые'!$B$9:$N$9,1,COLUMNS('Исходные кривые'!$B$9:$N$9)),INDEX('Исходные кривые'!$B$9:$N$9,1,MATCH(G54,'Исходные кривые'!$B$8:$N$8,1))+(G54-INDEX('Исходные кривые'!$B$8:$N$8,1,MATCH(G54,'Исходные кривые'!$B$8:$N$8,1)))*(INDEX('Исходные кривые'!$B$9:$N$9,1,MATCH(G54,'Исходные кривые'!$B$8:$N$8,1)+1)-INDEX('Исходные кривые'!$B$9:$N$9,1,MATCH(G54,'Исходные кривые'!$B$8:$N$8,1)))/(INDEX('Исходные кривые'!$B$8:$N$8,1,MATCH(G54,'Исходные кривые'!$B$8:$N$8,1)+1)-INDEX('Исходные кривые'!$B$8:$N$8,1,MATCH(G54,'Исходные кривые'!$B$8:$N$8,1)))))</x:f>
        <x:v>17.06732876712329</x:v>
      </x:c>
      <x:c r="J54" s="173" t="n">
        <x:f>IF(G54&lt;=MIN('Исходные кривые'!$B$12:$K$12),INDEX('Исходные кривые'!$B$13:$K$13,1,1),IF(G54&gt;=MAX('Исходные кривые'!$B$12:$K$12),INDEX('Исходные кривые'!$B$13:$K$13,1,COLUMNS('Исходные кривые'!$B$13:$K$13)),INDEX('Исходные кривые'!$B$13:$K$13,1,MATCH(G54,'Исходные кривые'!$B$12:$K$12,1))+(G54-INDEX('Исходные кривые'!$B$12:$K$12,1,MATCH(G54,'Исходные кривые'!$B$12:$K$12,1)))*(INDEX('Исходные кривые'!$B$13:$K$13,1,MATCH(G54,'Исходные кривые'!$B$12:$K$12,1)+1)-INDEX('Исходные кривые'!$B$13:$K$13,1,MATCH(G54,'Исходные кривые'!$B$12:$K$12,1)))/(INDEX('Исходные кривые'!$B$12:$K$12,1,MATCH(G54,'Исходные кривые'!$B$12:$K$12,1)+1)-INDEX('Исходные кривые'!$B$12:$K$12,1,MATCH(G54,'Исходные кривые'!$B$12:$K$12,1)))))</x:f>
        <x:v>50.227397260273975</x:v>
      </x:c>
      <x:c r="K54" s="173" t="n">
        <x:f>IF(G54&lt;=MIN('Исходные кривые'!$B$12:$K$12),INDEX('Исходные кривые'!$B$14:$K$14,1,1),IF(G54&gt;=MAX('Исходные кривые'!$B$12:$K$12),INDEX('Исходные кривые'!$B$14:$K$14,1,COLUMNS('Исходные кривые'!$B$14:$K$14)),INDEX('Исходные кривые'!$B$14:$K$14,1,MATCH(G54,'Исходные кривые'!$B$12:$K$12,1))+(G54-INDEX('Исходные кривые'!$B$12:$K$12,1,MATCH(G54,'Исходные кривые'!$B$12:$K$12,1)))*(INDEX('Исходные кривые'!$B$14:$K$14,1,MATCH(G54,'Исходные кривые'!$B$12:$K$12,1)+1)-INDEX('Исходные кривые'!$B$14:$K$14,1,MATCH(G54,'Исходные кривые'!$B$12:$K$12,1)))/(INDEX('Исходные кривые'!$B$12:$K$12,1,MATCH(G54,'Исходные кривые'!$B$12:$K$12,1)+1)-INDEX('Исходные кривые'!$B$12:$K$12,1,MATCH(G54,'Исходные кривые'!$B$12:$K$12,1)))))</x:f>
        <x:v>-27.37123287671233</x:v>
      </x:c>
      <x:c r="L54" s="173" t="n">
        <x:f>IF(G54&lt;=MIN('Исходные кривые'!$B$17:$L$17),INDEX('Исходные кривые'!$B$18:$L$18,1,1),IF(G54&gt;=MAX('Исходные кривые'!$B$17:$L$17),INDEX('Исходные кривые'!$B$18:$L$18,1,COLUMNS('Исходные кривые'!$B$18:$L$18)),INDEX('Исходные кривые'!$B$18:$L$18,1,MATCH(G54,'Исходные кривые'!$B$17:$L$17,1))+(G54-INDEX('Исходные кривые'!$B$17:$L$17,1,MATCH(G54,'Исходные кривые'!$B$17:$L$17,1)))*(INDEX('Исходные кривые'!$B$18:$L$18,1,MATCH(G54,'Исходные кривые'!$B$17:$L$17,1)+1)-INDEX('Исходные кривые'!$B$18:$L$18,1,MATCH(G54,'Исходные кривые'!$B$17:$L$17,1)))/(INDEX('Исходные кривые'!$B$17:$L$17,1,MATCH(G54,'Исходные кривые'!$B$17:$L$17,1)+1)-INDEX('Исходные кривые'!$B$17:$L$17,1,MATCH(G54,'Исходные кривые'!$B$17:$L$17,1)))))</x:f>
        <x:v>5.956849315068494</x:v>
      </x:c>
      <x:c r="M54" s="173" t="n">
        <x:f>IF(G54&lt;=MIN('Исходные кривые'!$B$17:$L$17),INDEX('Исходные кривые'!$B$19:$L$19,1,1),IF(G54&gt;=MAX('Исходные кривые'!$B$17:$L$17),INDEX('Исходные кривые'!$B$19:$L$19,1,COLUMNS('Исходные кривые'!$B$19:$L$19)),INDEX('Исходные кривые'!$B$19:$L$19,1,MATCH(G54,'Исходные кривые'!$B$17:$L$17,1))+(G54-INDEX('Исходные кривые'!$B$17:$L$17,1,MATCH(G54,'Исходные кривые'!$B$17:$L$17,1)))*(INDEX('Исходные кривые'!$B$19:$L$19,1,MATCH(G54,'Исходные кривые'!$B$17:$L$17,1)+1)-INDEX('Исходные кривые'!$B$19:$L$19,1,MATCH(G54,'Исходные кривые'!$B$17:$L$17,1)))/(INDEX('Исходные кривые'!$B$17:$L$17,1,MATCH(G54,'Исходные кривые'!$B$17:$L$17,1)+1)-INDEX('Исходные кривые'!$B$17:$L$17,1,MATCH(G54,'Исходные кривые'!$B$17:$L$17,1)))))</x:f>
        <x:v>-2.605342465753425</x:v>
      </x:c>
    </x:row>
    <x:row r="55">
      <x:c r="A55" s="128" t="str">
        <x:v>Своп 3</x:v>
      </x:c>
      <x:c r="B55" s="129" t="n">
        <x:v>47300</x:v>
      </x:c>
      <x:c r="C55" s="129" t="n">
        <x:v>49126</x:v>
      </x:c>
      <x:c r="D55" s="128" t="n">
        <x:v>6</x:v>
      </x:c>
      <x:c r="E55" s="129" t="n">
        <x:v>47849</x:v>
      </x:c>
      <x:c r="F55" s="172" t="n">
        <x:f>E55-'Настройки'!$B$4</x:f>
        <x:v>1646</x:v>
      </x:c>
      <x:c r="G55" s="173" t="n">
        <x:f>F55/'Настройки'!$B$5</x:f>
        <x:v>4.50958904109589</x:v>
      </x:c>
      <x:c r="H55" s="173" t="n">
        <x:f>IF(G55&lt;=MIN('Исходные кривые'!$B$4:$L$4),INDEX('Исходные кривые'!$B$5:$L$5,1,1),IF(G55&gt;=MAX('Исходные кривые'!$B$4:$L$4),INDEX('Исходные кривые'!$B$5:$L$5,1,COLUMNS('Исходные кривые'!$B$5:$L$5)),INDEX('Исходные кривые'!$B$5:$L$5,1,MATCH(G55,'Исходные кривые'!$B$4:$L$4,1))+(G55-INDEX('Исходные кривые'!$B$4:$L$4,1,MATCH(G55,'Исходные кривые'!$B$4:$L$4,1)))*(INDEX('Исходные кривые'!$B$5:$L$5,1,MATCH(G55,'Исходные кривые'!$B$4:$L$4,1)+1)-INDEX('Исходные кривые'!$B$5:$L$5,1,MATCH(G55,'Исходные кривые'!$B$4:$L$4,1)))/(INDEX('Исходные кривые'!$B$4:$L$4,1,MATCH(G55,'Исходные кривые'!$B$4:$L$4,1)+1)-INDEX('Исходные кривые'!$B$4:$L$4,1,MATCH(G55,'Исходные кривые'!$B$4:$L$4,1)))))</x:f>
        <x:v>15.187054794520549</x:v>
      </x:c>
      <x:c r="I55" s="173" t="n">
        <x:f>IF(G55&lt;=MIN('Исходные кривые'!$B$8:$N$8),INDEX('Исходные кривые'!$B$9:$N$9,1,1),IF(G55&gt;=MAX('Исходные кривые'!$B$8:$N$8),INDEX('Исходные кривые'!$B$9:$N$9,1,COLUMNS('Исходные кривые'!$B$9:$N$9)),INDEX('Исходные кривые'!$B$9:$N$9,1,MATCH(G55,'Исходные кривые'!$B$8:$N$8,1))+(G55-INDEX('Исходные кривые'!$B$8:$N$8,1,MATCH(G55,'Исходные кривые'!$B$8:$N$8,1)))*(INDEX('Исходные кривые'!$B$9:$N$9,1,MATCH(G55,'Исходные кривые'!$B$8:$N$8,1)+1)-INDEX('Исходные кривые'!$B$9:$N$9,1,MATCH(G55,'Исходные кривые'!$B$8:$N$8,1)))/(INDEX('Исходные кривые'!$B$8:$N$8,1,MATCH(G55,'Исходные кривые'!$B$8:$N$8,1)+1)-INDEX('Исходные кривые'!$B$8:$N$8,1,MATCH(G55,'Исходные кривые'!$B$8:$N$8,1)))))</x:f>
        <x:v>17.18705479452055</x:v>
      </x:c>
      <x:c r="J55" s="173" t="n">
        <x:f>IF(G55&lt;=MIN('Исходные кривые'!$B$12:$K$12),INDEX('Исходные кривые'!$B$13:$K$13,1,1),IF(G55&gt;=MAX('Исходные кривые'!$B$12:$K$12),INDEX('Исходные кривые'!$B$13:$K$13,1,COLUMNS('Исходные кривые'!$B$13:$K$13)),INDEX('Исходные кривые'!$B$13:$K$13,1,MATCH(G55,'Исходные кривые'!$B$12:$K$12,1))+(G55-INDEX('Исходные кривые'!$B$12:$K$12,1,MATCH(G55,'Исходные кривые'!$B$12:$K$12,1)))*(INDEX('Исходные кривые'!$B$13:$K$13,1,MATCH(G55,'Исходные кривые'!$B$12:$K$12,1)+1)-INDEX('Исходные кривые'!$B$13:$K$13,1,MATCH(G55,'Исходные кривые'!$B$12:$K$12,1)))/(INDEX('Исходные кривые'!$B$12:$K$12,1,MATCH(G55,'Исходные кривые'!$B$12:$K$12,1)+1)-INDEX('Исходные кривые'!$B$12:$K$12,1,MATCH(G55,'Исходные кривые'!$B$12:$K$12,1)))))</x:f>
        <x:v>49.47123287671233</x:v>
      </x:c>
      <x:c r="K55" s="173" t="n">
        <x:f>IF(G55&lt;=MIN('Исходные кривые'!$B$12:$K$12),INDEX('Исходные кривые'!$B$14:$K$14,1,1),IF(G55&gt;=MAX('Исходные кривые'!$B$12:$K$12),INDEX('Исходные кривые'!$B$14:$K$14,1,COLUMNS('Исходные кривые'!$B$14:$K$14)),INDEX('Исходные кривые'!$B$14:$K$14,1,MATCH(G55,'Исходные кривые'!$B$12:$K$12,1))+(G55-INDEX('Исходные кривые'!$B$12:$K$12,1,MATCH(G55,'Исходные кривые'!$B$12:$K$12,1)))*(INDEX('Исходные кривые'!$B$14:$K$14,1,MATCH(G55,'Исходные кривые'!$B$12:$K$12,1)+1)-INDEX('Исходные кривые'!$B$14:$K$14,1,MATCH(G55,'Исходные кривые'!$B$12:$K$12,1)))/(INDEX('Исходные кривые'!$B$12:$K$12,1,MATCH(G55,'Исходные кривые'!$B$12:$K$12,1)+1)-INDEX('Исходные кривые'!$B$12:$K$12,1,MATCH(G55,'Исходные кривые'!$B$12:$K$12,1)))))</x:f>
        <x:v>-27.245205479452054</x:v>
      </x:c>
      <x:c r="L55" s="173" t="n">
        <x:f>IF(G55&lt;=MIN('Исходные кривые'!$B$17:$L$17),INDEX('Исходные кривые'!$B$18:$L$18,1,1),IF(G55&gt;=MAX('Исходные кривые'!$B$17:$L$17),INDEX('Исходные кривые'!$B$18:$L$18,1,COLUMNS('Исходные кривые'!$B$18:$L$18)),INDEX('Исходные кривые'!$B$18:$L$18,1,MATCH(G55,'Исходные кривые'!$B$17:$L$17,1))+(G55-INDEX('Исходные кривые'!$B$17:$L$17,1,MATCH(G55,'Исходные кривые'!$B$17:$L$17,1)))*(INDEX('Исходные кривые'!$B$18:$L$18,1,MATCH(G55,'Исходные кривые'!$B$17:$L$17,1)+1)-INDEX('Исходные кривые'!$B$18:$L$18,1,MATCH(G55,'Исходные кривые'!$B$17:$L$17,1)))/(INDEX('Исходные кривые'!$B$17:$L$17,1,MATCH(G55,'Исходные кривые'!$B$17:$L$17,1)+1)-INDEX('Исходные кривые'!$B$17:$L$17,1,MATCH(G55,'Исходные кривые'!$B$17:$L$17,1)))))</x:f>
        <x:v>5.767808219178082</x:v>
      </x:c>
      <x:c r="M55" s="173" t="n">
        <x:f>IF(G55&lt;=MIN('Исходные кривые'!$B$17:$L$17),INDEX('Исходные кривые'!$B$19:$L$19,1,1),IF(G55&gt;=MAX('Исходные кривые'!$B$17:$L$17),INDEX('Исходные кривые'!$B$19:$L$19,1,COLUMNS('Исходные кривые'!$B$19:$L$19)),INDEX('Исходные кривые'!$B$19:$L$19,1,MATCH(G55,'Исходные кривые'!$B$17:$L$17,1))+(G55-INDEX('Исходные кривые'!$B$17:$L$17,1,MATCH(G55,'Исходные кривые'!$B$17:$L$17,1)))*(INDEX('Исходные кривые'!$B$19:$L$19,1,MATCH(G55,'Исходные кривые'!$B$17:$L$17,1)+1)-INDEX('Исходные кривые'!$B$19:$L$19,1,MATCH(G55,'Исходные кривые'!$B$17:$L$17,1)))/(INDEX('Исходные кривые'!$B$17:$L$17,1,MATCH(G55,'Исходные кривые'!$B$17:$L$17,1)+1)-INDEX('Исходные кривые'!$B$17:$L$17,1,MATCH(G55,'Исходные кривые'!$B$17:$L$17,1)))))</x:f>
        <x:v>-2.365890410958904</x:v>
      </x:c>
    </x:row>
    <x:row r="56">
      <x:c r="A56" s="128" t="str">
        <x:v>Своп 3</x:v>
      </x:c>
      <x:c r="B56" s="129" t="n">
        <x:v>47300</x:v>
      </x:c>
      <x:c r="C56" s="129" t="n">
        <x:v>49126</x:v>
      </x:c>
      <x:c r="D56" s="128" t="n">
        <x:v>7</x:v>
      </x:c>
      <x:c r="E56" s="129" t="n">
        <x:v>47939</x:v>
      </x:c>
      <x:c r="F56" s="172" t="n">
        <x:f>E56-'Настройки'!$B$4</x:f>
        <x:v>1736</x:v>
      </x:c>
      <x:c r="G56" s="173" t="n">
        <x:f>F56/'Настройки'!$B$5</x:f>
        <x:v>4.756164383561644</x:v>
      </x:c>
      <x:c r="H56" s="173" t="n">
        <x:f>IF(G56&lt;=MIN('Исходные кривые'!$B$4:$L$4),INDEX('Исходные кривые'!$B$5:$L$5,1,1),IF(G56&gt;=MAX('Исходные кривые'!$B$4:$L$4),INDEX('Исходные кривые'!$B$5:$L$5,1,COLUMNS('Исходные кривые'!$B$5:$L$5)),INDEX('Исходные кривые'!$B$5:$L$5,1,MATCH(G56,'Исходные кривые'!$B$4:$L$4,1))+(G56-INDEX('Исходные кривые'!$B$4:$L$4,1,MATCH(G56,'Исходные кривые'!$B$4:$L$4,1)))*(INDEX('Исходные кривые'!$B$5:$L$5,1,MATCH(G56,'Исходные кривые'!$B$4:$L$4,1)+1)-INDEX('Исходные кривые'!$B$5:$L$5,1,MATCH(G56,'Исходные кривые'!$B$4:$L$4,1)))/(INDEX('Исходные кривые'!$B$4:$L$4,1,MATCH(G56,'Исходные кривые'!$B$4:$L$4,1)+1)-INDEX('Исходные кривые'!$B$4:$L$4,1,MATCH(G56,'Исходные кривые'!$B$4:$L$4,1)))))</x:f>
        <x:v>15.30417808219178</x:v>
      </x:c>
      <x:c r="I56" s="173" t="n">
        <x:f>IF(G56&lt;=MIN('Исходные кривые'!$B$8:$N$8),INDEX('Исходные кривые'!$B$9:$N$9,1,1),IF(G56&gt;=MAX('Исходные кривые'!$B$8:$N$8),INDEX('Исходные кривые'!$B$9:$N$9,1,COLUMNS('Исходные кривые'!$B$9:$N$9)),INDEX('Исходные кривые'!$B$9:$N$9,1,MATCH(G56,'Исходные кривые'!$B$8:$N$8,1))+(G56-INDEX('Исходные кривые'!$B$8:$N$8,1,MATCH(G56,'Исходные кривые'!$B$8:$N$8,1)))*(INDEX('Исходные кривые'!$B$9:$N$9,1,MATCH(G56,'Исходные кривые'!$B$8:$N$8,1)+1)-INDEX('Исходные кривые'!$B$9:$N$9,1,MATCH(G56,'Исходные кривые'!$B$8:$N$8,1)))/(INDEX('Исходные кривые'!$B$8:$N$8,1,MATCH(G56,'Исходные кривые'!$B$8:$N$8,1)+1)-INDEX('Исходные кривые'!$B$8:$N$8,1,MATCH(G56,'Исходные кривые'!$B$8:$N$8,1)))))</x:f>
        <x:v>17.304178082191783</x:v>
      </x:c>
      <x:c r="J56" s="173" t="n">
        <x:f>IF(G56&lt;=MIN('Исходные кривые'!$B$12:$K$12),INDEX('Исходные кривые'!$B$13:$K$13,1,1),IF(G56&gt;=MAX('Исходные кривые'!$B$12:$K$12),INDEX('Исходные кривые'!$B$13:$K$13,1,COLUMNS('Исходные кривые'!$B$13:$K$13)),INDEX('Исходные кривые'!$B$13:$K$13,1,MATCH(G56,'Исходные кривые'!$B$12:$K$12,1))+(G56-INDEX('Исходные кривые'!$B$12:$K$12,1,MATCH(G56,'Исходные кривые'!$B$12:$K$12,1)))*(INDEX('Исходные кривые'!$B$13:$K$13,1,MATCH(G56,'Исходные кривые'!$B$12:$K$12,1)+1)-INDEX('Исходные кривые'!$B$13:$K$13,1,MATCH(G56,'Исходные кривые'!$B$12:$K$12,1)))/(INDEX('Исходные кривые'!$B$12:$K$12,1,MATCH(G56,'Исходные кривые'!$B$12:$K$12,1)+1)-INDEX('Исходные кривые'!$B$12:$K$12,1,MATCH(G56,'Исходные кривые'!$B$12:$K$12,1)))))</x:f>
        <x:v>48.73150684931507</x:v>
      </x:c>
      <x:c r="K56" s="173" t="n">
        <x:f>IF(G56&lt;=MIN('Исходные кривые'!$B$12:$K$12),INDEX('Исходные кривые'!$B$14:$K$14,1,1),IF(G56&gt;=MAX('Исходные кривые'!$B$12:$K$12),INDEX('Исходные кривые'!$B$14:$K$14,1,COLUMNS('Исходные кривые'!$B$14:$K$14)),INDEX('Исходные кривые'!$B$14:$K$14,1,MATCH(G56,'Исходные кривые'!$B$12:$K$12,1))+(G56-INDEX('Исходные кривые'!$B$12:$K$12,1,MATCH(G56,'Исходные кривые'!$B$12:$K$12,1)))*(INDEX('Исходные кривые'!$B$14:$K$14,1,MATCH(G56,'Исходные кривые'!$B$12:$K$12,1)+1)-INDEX('Исходные кривые'!$B$14:$K$14,1,MATCH(G56,'Исходные кривые'!$B$12:$K$12,1)))/(INDEX('Исходные кривые'!$B$12:$K$12,1,MATCH(G56,'Исходные кривые'!$B$12:$K$12,1)+1)-INDEX('Исходные кривые'!$B$12:$K$12,1,MATCH(G56,'Исходные кривые'!$B$12:$K$12,1)))))</x:f>
        <x:v>-27.121917808219177</x:v>
      </x:c>
      <x:c r="L56" s="173" t="n">
        <x:f>IF(G56&lt;=MIN('Исходные кривые'!$B$17:$L$17),INDEX('Исходные кривые'!$B$18:$L$18,1,1),IF(G56&gt;=MAX('Исходные кривые'!$B$17:$L$17),INDEX('Исходные кривые'!$B$18:$L$18,1,COLUMNS('Исходные кривые'!$B$18:$L$18)),INDEX('Исходные кривые'!$B$18:$L$18,1,MATCH(G56,'Исходные кривые'!$B$17:$L$17,1))+(G56-INDEX('Исходные кривые'!$B$17:$L$17,1,MATCH(G56,'Исходные кривые'!$B$17:$L$17,1)))*(INDEX('Исходные кривые'!$B$18:$L$18,1,MATCH(G56,'Исходные кривые'!$B$17:$L$17,1)+1)-INDEX('Исходные кривые'!$B$18:$L$18,1,MATCH(G56,'Исходные кривые'!$B$17:$L$17,1)))/(INDEX('Исходные кривые'!$B$17:$L$17,1,MATCH(G56,'Исходные кривые'!$B$17:$L$17,1)+1)-INDEX('Исходные кривые'!$B$17:$L$17,1,MATCH(G56,'Исходные кривые'!$B$17:$L$17,1)))))</x:f>
        <x:v>5.582876712328767</x:v>
      </x:c>
      <x:c r="M56" s="173" t="n">
        <x:f>IF(G56&lt;=MIN('Исходные кривые'!$B$17:$L$17),INDEX('Исходные кривые'!$B$19:$L$19,1,1),IF(G56&gt;=MAX('Исходные кривые'!$B$17:$L$17),INDEX('Исходные кривые'!$B$19:$L$19,1,COLUMNS('Исходные кривые'!$B$19:$L$19)),INDEX('Исходные кривые'!$B$19:$L$19,1,MATCH(G56,'Исходные кривые'!$B$17:$L$17,1))+(G56-INDEX('Исходные кривые'!$B$17:$L$17,1,MATCH(G56,'Исходные кривые'!$B$17:$L$17,1)))*(INDEX('Исходные кривые'!$B$19:$L$19,1,MATCH(G56,'Исходные кривые'!$B$17:$L$17,1)+1)-INDEX('Исходные кривые'!$B$19:$L$19,1,MATCH(G56,'Исходные кривые'!$B$17:$L$17,1)))/(INDEX('Исходные кривые'!$B$17:$L$17,1,MATCH(G56,'Исходные кривые'!$B$17:$L$17,1)+1)-INDEX('Исходные кривые'!$B$17:$L$17,1,MATCH(G56,'Исходные кривые'!$B$17:$L$17,1)))))</x:f>
        <x:v>-2.131643835616438</x:v>
      </x:c>
    </x:row>
    <x:row r="57">
      <x:c r="A57" s="128" t="str">
        <x:v>Своп 3</x:v>
      </x:c>
      <x:c r="B57" s="129" t="n">
        <x:v>47300</x:v>
      </x:c>
      <x:c r="C57" s="129" t="n">
        <x:v>49126</x:v>
      </x:c>
      <x:c r="D57" s="128" t="n">
        <x:v>8</x:v>
      </x:c>
      <x:c r="E57" s="129" t="n">
        <x:v>48030</x:v>
      </x:c>
      <x:c r="F57" s="172" t="n">
        <x:f>E57-'Настройки'!$B$4</x:f>
        <x:v>1827</x:v>
      </x:c>
      <x:c r="G57" s="173" t="n">
        <x:f>F57/'Настройки'!$B$5</x:f>
        <x:v>5.005479452054795</x:v>
      </x:c>
      <x:c r="H57" s="173" t="n">
        <x:f>IF(G57&lt;=MIN('Исходные кривые'!$B$4:$L$4),INDEX('Исходные кривые'!$B$5:$L$5,1,1),IF(G57&gt;=MAX('Исходные кривые'!$B$4:$L$4),INDEX('Исходные кривые'!$B$5:$L$5,1,COLUMNS('Исходные кривые'!$B$5:$L$5)),INDEX('Исходные кривые'!$B$5:$L$5,1,MATCH(G57,'Исходные кривые'!$B$4:$L$4,1))+(G57-INDEX('Исходные кривые'!$B$4:$L$4,1,MATCH(G57,'Исходные кривые'!$B$4:$L$4,1)))*(INDEX('Исходные кривые'!$B$5:$L$5,1,MATCH(G57,'Исходные кривые'!$B$4:$L$4,1)+1)-INDEX('Исходные кривые'!$B$5:$L$5,1,MATCH(G57,'Исходные кривые'!$B$4:$L$4,1)))/(INDEX('Исходные кривые'!$B$4:$L$4,1,MATCH(G57,'Исходные кривые'!$B$4:$L$4,1)+1)-INDEX('Исходные кривые'!$B$4:$L$4,1,MATCH(G57,'Исходные кривые'!$B$4:$L$4,1)))))</x:f>
        <x:v>15.421534246575343</x:v>
      </x:c>
      <x:c r="I57" s="173" t="n">
        <x:f>IF(G57&lt;=MIN('Исходные кривые'!$B$8:$N$8),INDEX('Исходные кривые'!$B$9:$N$9,1,1),IF(G57&gt;=MAX('Исходные кривые'!$B$8:$N$8),INDEX('Исходные кривые'!$B$9:$N$9,1,COLUMNS('Исходные кривые'!$B$9:$N$9)),INDEX('Исходные кривые'!$B$9:$N$9,1,MATCH(G57,'Исходные кривые'!$B$8:$N$8,1))+(G57-INDEX('Исходные кривые'!$B$8:$N$8,1,MATCH(G57,'Исходные кривые'!$B$8:$N$8,1)))*(INDEX('Исходные кривые'!$B$9:$N$9,1,MATCH(G57,'Исходные кривые'!$B$8:$N$8,1)+1)-INDEX('Исходные кривые'!$B$9:$N$9,1,MATCH(G57,'Исходные кривые'!$B$8:$N$8,1)))/(INDEX('Исходные кривые'!$B$8:$N$8,1,MATCH(G57,'Исходные кривые'!$B$8:$N$8,1)+1)-INDEX('Исходные кривые'!$B$8:$N$8,1,MATCH(G57,'Исходные кривые'!$B$8:$N$8,1)))))</x:f>
        <x:v>17.421534246575344</x:v>
      </x:c>
      <x:c r="J57" s="173" t="n">
        <x:f>IF(G57&lt;=MIN('Исходные кривые'!$B$12:$K$12),INDEX('Исходные кривые'!$B$13:$K$13,1,1),IF(G57&gt;=MAX('Исходные кривые'!$B$12:$K$12),INDEX('Исходные кривые'!$B$13:$K$13,1,COLUMNS('Исходные кривые'!$B$13:$K$13)),INDEX('Исходные кривые'!$B$13:$K$13,1,MATCH(G57,'Исходные кривые'!$B$12:$K$12,1))+(G57-INDEX('Исходные кривые'!$B$12:$K$12,1,MATCH(G57,'Исходные кривые'!$B$12:$K$12,1)))*(INDEX('Исходные кривые'!$B$13:$K$13,1,MATCH(G57,'Исходные кривые'!$B$12:$K$12,1)+1)-INDEX('Исходные кривые'!$B$13:$K$13,1,MATCH(G57,'Исходные кривые'!$B$12:$K$12,1)))/(INDEX('Исходные кривые'!$B$12:$K$12,1,MATCH(G57,'Исходные кривые'!$B$12:$K$12,1)+1)-INDEX('Исходные кривые'!$B$12:$K$12,1,MATCH(G57,'Исходные кривые'!$B$12:$K$12,1)))))</x:f>
        <x:v>47.983561643835614</x:v>
      </x:c>
      <x:c r="K57" s="173" t="n">
        <x:f>IF(G57&lt;=MIN('Исходные кривые'!$B$12:$K$12),INDEX('Исходные кривые'!$B$14:$K$14,1,1),IF(G57&gt;=MAX('Исходные кривые'!$B$12:$K$12),INDEX('Исходные кривые'!$B$14:$K$14,1,COLUMNS('Исходные кривые'!$B$14:$K$14)),INDEX('Исходные кривые'!$B$14:$K$14,1,MATCH(G57,'Исходные кривые'!$B$12:$K$12,1))+(G57-INDEX('Исходные кривые'!$B$12:$K$12,1,MATCH(G57,'Исходные кривые'!$B$12:$K$12,1)))*(INDEX('Исходные кривые'!$B$14:$K$14,1,MATCH(G57,'Исходные кривые'!$B$12:$K$12,1)+1)-INDEX('Исходные кривые'!$B$14:$K$14,1,MATCH(G57,'Исходные кривые'!$B$12:$K$12,1)))/(INDEX('Исходные кривые'!$B$12:$K$12,1,MATCH(G57,'Исходные кривые'!$B$12:$K$12,1)+1)-INDEX('Исходные кривые'!$B$12:$K$12,1,MATCH(G57,'Исходные кривые'!$B$12:$K$12,1)))))</x:f>
        <x:v>-26.997260273972604</x:v>
      </x:c>
      <x:c r="L57" s="173" t="n">
        <x:f>IF(G57&lt;=MIN('Исходные кривые'!$B$17:$L$17),INDEX('Исходные кривые'!$B$18:$L$18,1,1),IF(G57&gt;=MAX('Исходные кривые'!$B$17:$L$17),INDEX('Исходные кривые'!$B$18:$L$18,1,COLUMNS('Исходные кривые'!$B$18:$L$18)),INDEX('Исходные кривые'!$B$18:$L$18,1,MATCH(G57,'Исходные кривые'!$B$17:$L$17,1))+(G57-INDEX('Исходные кривые'!$B$17:$L$17,1,MATCH(G57,'Исходные кривые'!$B$17:$L$17,1)))*(INDEX('Исходные кривые'!$B$18:$L$18,1,MATCH(G57,'Исходные кривые'!$B$17:$L$17,1)+1)-INDEX('Исходные кривые'!$B$18:$L$18,1,MATCH(G57,'Исходные кривые'!$B$17:$L$17,1)))/(INDEX('Исходные кривые'!$B$17:$L$17,1,MATCH(G57,'Исходные кривые'!$B$17:$L$17,1)+1)-INDEX('Исходные кривые'!$B$17:$L$17,1,MATCH(G57,'Исходные кривые'!$B$17:$L$17,1)))))</x:f>
        <x:v>5.4</x:v>
      </x:c>
      <x:c r="M57" s="173" t="n">
        <x:f>IF(G57&lt;=MIN('Исходные кривые'!$B$17:$L$17),INDEX('Исходные кривые'!$B$19:$L$19,1,1),IF(G57&gt;=MAX('Исходные кривые'!$B$17:$L$17),INDEX('Исходные кривые'!$B$19:$L$19,1,COLUMNS('Исходные кривые'!$B$19:$L$19)),INDEX('Исходные кривые'!$B$19:$L$19,1,MATCH(G57,'Исходные кривые'!$B$17:$L$17,1))+(G57-INDEX('Исходные кривые'!$B$17:$L$17,1,MATCH(G57,'Исходные кривые'!$B$17:$L$17,1)))*(INDEX('Исходные кривые'!$B$19:$L$19,1,MATCH(G57,'Исходные кривые'!$B$17:$L$17,1)+1)-INDEX('Исходные кривые'!$B$19:$L$19,1,MATCH(G57,'Исходные кривые'!$B$17:$L$17,1)))/(INDEX('Исходные кривые'!$B$17:$L$17,1,MATCH(G57,'Исходные кривые'!$B$17:$L$17,1)+1)-INDEX('Исходные кривые'!$B$17:$L$17,1,MATCH(G57,'Исходные кривые'!$B$17:$L$17,1)))))</x:f>
        <x:v>-1.9</x:v>
      </x:c>
    </x:row>
    <x:row r="58">
      <x:c r="A58" s="128" t="str">
        <x:v>Своп 3</x:v>
      </x:c>
      <x:c r="B58" s="129" t="n">
        <x:v>47300</x:v>
      </x:c>
      <x:c r="C58" s="129" t="n">
        <x:v>49126</x:v>
      </x:c>
      <x:c r="D58" s="128" t="n">
        <x:v>9</x:v>
      </x:c>
      <x:c r="E58" s="129" t="n">
        <x:v>48122</x:v>
      </x:c>
      <x:c r="F58" s="172" t="n">
        <x:f>E58-'Настройки'!$B$4</x:f>
        <x:v>1919</x:v>
      </x:c>
      <x:c r="G58" s="173" t="n">
        <x:f>F58/'Настройки'!$B$5</x:f>
        <x:v>5.257534246575342</x:v>
      </x:c>
      <x:c r="H58" s="173" t="n">
        <x:f>IF(G58&lt;=MIN('Исходные кривые'!$B$4:$L$4),INDEX('Исходные кривые'!$B$5:$L$5,1,1),IF(G58&gt;=MAX('Исходные кривые'!$B$4:$L$4),INDEX('Исходные кривые'!$B$5:$L$5,1,COLUMNS('Исходные кривые'!$B$5:$L$5)),INDEX('Исходные кривые'!$B$5:$L$5,1,MATCH(G58,'Исходные кривые'!$B$4:$L$4,1))+(G58-INDEX('Исходные кривые'!$B$4:$L$4,1,MATCH(G58,'Исходные кривые'!$B$4:$L$4,1)))*(INDEX('Исходные кривые'!$B$5:$L$5,1,MATCH(G58,'Исходные кривые'!$B$4:$L$4,1)+1)-INDEX('Исходные кривые'!$B$5:$L$5,1,MATCH(G58,'Исходные кривые'!$B$4:$L$4,1)))/(INDEX('Исходные кривые'!$B$4:$L$4,1,MATCH(G58,'Исходные кривые'!$B$4:$L$4,1)+1)-INDEX('Исходные кривые'!$B$4:$L$4,1,MATCH(G58,'Исходные кривые'!$B$4:$L$4,1)))))</x:f>
        <x:v>15.492109589041096</x:v>
      </x:c>
      <x:c r="I58" s="173" t="n">
        <x:f>IF(G58&lt;=MIN('Исходные кривые'!$B$8:$N$8),INDEX('Исходные кривые'!$B$9:$N$9,1,1),IF(G58&gt;=MAX('Исходные кривые'!$B$8:$N$8),INDEX('Исходные кривые'!$B$9:$N$9,1,COLUMNS('Исходные кривые'!$B$9:$N$9)),INDEX('Исходные кривые'!$B$9:$N$9,1,MATCH(G58,'Исходные кривые'!$B$8:$N$8,1))+(G58-INDEX('Исходные кривые'!$B$8:$N$8,1,MATCH(G58,'Исходные кривые'!$B$8:$N$8,1)))*(INDEX('Исходные кривые'!$B$9:$N$9,1,MATCH(G58,'Исходные кривые'!$B$8:$N$8,1)+1)-INDEX('Исходные кривые'!$B$9:$N$9,1,MATCH(G58,'Исходные кривые'!$B$8:$N$8,1)))/(INDEX('Исходные кривые'!$B$8:$N$8,1,MATCH(G58,'Исходные кривые'!$B$8:$N$8,1)+1)-INDEX('Исходные кривые'!$B$8:$N$8,1,MATCH(G58,'Исходные кривые'!$B$8:$N$8,1)))))</x:f>
        <x:v>17.492109589041096</x:v>
      </x:c>
      <x:c r="J58" s="173" t="n">
        <x:f>IF(G58&lt;=MIN('Исходные кривые'!$B$12:$K$12),INDEX('Исходные кривые'!$B$13:$K$13,1,1),IF(G58&gt;=MAX('Исходные кривые'!$B$12:$K$12),INDEX('Исходные кривые'!$B$13:$K$13,1,COLUMNS('Исходные кривые'!$B$13:$K$13)),INDEX('Исходные кривые'!$B$13:$K$13,1,MATCH(G58,'Исходные кривые'!$B$12:$K$12,1))+(G58-INDEX('Исходные кривые'!$B$12:$K$12,1,MATCH(G58,'Исходные кривые'!$B$12:$K$12,1)))*(INDEX('Исходные кривые'!$B$13:$K$13,1,MATCH(G58,'Исходные кривые'!$B$12:$K$12,1)+1)-INDEX('Исходные кривые'!$B$13:$K$13,1,MATCH(G58,'Исходные кривые'!$B$12:$K$12,1)))/(INDEX('Исходные кривые'!$B$12:$K$12,1,MATCH(G58,'Исходные кривые'!$B$12:$K$12,1)+1)-INDEX('Исходные кривые'!$B$12:$K$12,1,MATCH(G58,'Исходные кривые'!$B$12:$K$12,1)))))</x:f>
        <x:v>47.227397260273975</x:v>
      </x:c>
      <x:c r="K58" s="173" t="n">
        <x:f>IF(G58&lt;=MIN('Исходные кривые'!$B$12:$K$12),INDEX('Исходные кривые'!$B$14:$K$14,1,1),IF(G58&gt;=MAX('Исходные кривые'!$B$12:$K$12),INDEX('Исходные кривые'!$B$14:$K$14,1,COLUMNS('Исходные кривые'!$B$14:$K$14)),INDEX('Исходные кривые'!$B$14:$K$14,1,MATCH(G58,'Исходные кривые'!$B$12:$K$12,1))+(G58-INDEX('Исходные кривые'!$B$12:$K$12,1,MATCH(G58,'Исходные кривые'!$B$12:$K$12,1)))*(INDEX('Исходные кривые'!$B$14:$K$14,1,MATCH(G58,'Исходные кривые'!$B$12:$K$12,1)+1)-INDEX('Исходные кривые'!$B$14:$K$14,1,MATCH(G58,'Исходные кривые'!$B$12:$K$12,1)))/(INDEX('Исходные кривые'!$B$12:$K$12,1,MATCH(G58,'Исходные кривые'!$B$12:$K$12,1)+1)-INDEX('Исходные кривые'!$B$12:$K$12,1,MATCH(G58,'Исходные кривые'!$B$12:$K$12,1)))))</x:f>
        <x:v>-26.87123287671233</x:v>
      </x:c>
      <x:c r="L58" s="173" t="n">
        <x:f>IF(G58&lt;=MIN('Исходные кривые'!$B$17:$L$17),INDEX('Исходные кривые'!$B$18:$L$18,1,1),IF(G58&gt;=MAX('Исходные кривые'!$B$17:$L$17),INDEX('Исходные кривые'!$B$18:$L$18,1,COLUMNS('Исходные кривые'!$B$18:$L$18)),INDEX('Исходные кривые'!$B$18:$L$18,1,MATCH(G58,'Исходные кривые'!$B$17:$L$17,1))+(G58-INDEX('Исходные кривые'!$B$17:$L$17,1,MATCH(G58,'Исходные кривые'!$B$17:$L$17,1)))*(INDEX('Исходные кривые'!$B$18:$L$18,1,MATCH(G58,'Исходные кривые'!$B$17:$L$17,1)+1)-INDEX('Исходные кривые'!$B$18:$L$18,1,MATCH(G58,'Исходные кривые'!$B$17:$L$17,1)))/(INDEX('Исходные кривые'!$B$17:$L$17,1,MATCH(G58,'Исходные кривые'!$B$17:$L$17,1)+1)-INDEX('Исходные кривые'!$B$17:$L$17,1,MATCH(G58,'Исходные кривые'!$B$17:$L$17,1)))))</x:f>
        <x:v>5.4</x:v>
      </x:c>
      <x:c r="M58" s="173" t="n">
        <x:f>IF(G58&lt;=MIN('Исходные кривые'!$B$17:$L$17),INDEX('Исходные кривые'!$B$19:$L$19,1,1),IF(G58&gt;=MAX('Исходные кривые'!$B$17:$L$17),INDEX('Исходные кривые'!$B$19:$L$19,1,COLUMNS('Исходные кривые'!$B$19:$L$19)),INDEX('Исходные кривые'!$B$19:$L$19,1,MATCH(G58,'Исходные кривые'!$B$17:$L$17,1))+(G58-INDEX('Исходные кривые'!$B$17:$L$17,1,MATCH(G58,'Исходные кривые'!$B$17:$L$17,1)))*(INDEX('Исходные кривые'!$B$19:$L$19,1,MATCH(G58,'Исходные кривые'!$B$17:$L$17,1)+1)-INDEX('Исходные кривые'!$B$19:$L$19,1,MATCH(G58,'Исходные кривые'!$B$17:$L$17,1)))/(INDEX('Исходные кривые'!$B$17:$L$17,1,MATCH(G58,'Исходные кривые'!$B$17:$L$17,1)+1)-INDEX('Исходные кривые'!$B$17:$L$17,1,MATCH(G58,'Исходные кривые'!$B$17:$L$17,1)))))</x:f>
        <x:v>-1.9</x:v>
      </x:c>
    </x:row>
    <x:row r="59">
      <x:c r="A59" s="128" t="str">
        <x:v>Своп 3</x:v>
      </x:c>
      <x:c r="B59" s="129" t="n">
        <x:v>47300</x:v>
      </x:c>
      <x:c r="C59" s="129" t="n">
        <x:v>49126</x:v>
      </x:c>
      <x:c r="D59" s="128" t="n">
        <x:v>10</x:v>
      </x:c>
      <x:c r="E59" s="129" t="n">
        <x:v>48214</x:v>
      </x:c>
      <x:c r="F59" s="172" t="n">
        <x:f>E59-'Настройки'!$B$4</x:f>
        <x:v>2011</x:v>
      </x:c>
      <x:c r="G59" s="173" t="n">
        <x:f>F59/'Настройки'!$B$5</x:f>
        <x:v>5.50958904109589</x:v>
      </x:c>
      <x:c r="H59" s="173" t="n">
        <x:f>IF(G59&lt;=MIN('Исходные кривые'!$B$4:$L$4),INDEX('Исходные кривые'!$B$5:$L$5,1,1),IF(G59&gt;=MAX('Исходные кривые'!$B$4:$L$4),INDEX('Исходные кривые'!$B$5:$L$5,1,COLUMNS('Исходные кривые'!$B$5:$L$5)),INDEX('Исходные кривые'!$B$5:$L$5,1,MATCH(G59,'Исходные кривые'!$B$4:$L$4,1))+(G59-INDEX('Исходные кривые'!$B$4:$L$4,1,MATCH(G59,'Исходные кривые'!$B$4:$L$4,1)))*(INDEX('Исходные кривые'!$B$5:$L$5,1,MATCH(G59,'Исходные кривые'!$B$4:$L$4,1)+1)-INDEX('Исходные кривые'!$B$5:$L$5,1,MATCH(G59,'Исходные кривые'!$B$4:$L$4,1)))/(INDEX('Исходные кривые'!$B$4:$L$4,1,MATCH(G59,'Исходные кривые'!$B$4:$L$4,1)+1)-INDEX('Исходные кривые'!$B$4:$L$4,1,MATCH(G59,'Исходные кривые'!$B$4:$L$4,1)))))</x:f>
        <x:v>15.56268493150685</x:v>
      </x:c>
      <x:c r="I59" s="173" t="n">
        <x:f>IF(G59&lt;=MIN('Исходные кривые'!$B$8:$N$8),INDEX('Исходные кривые'!$B$9:$N$9,1,1),IF(G59&gt;=MAX('Исходные кривые'!$B$8:$N$8),INDEX('Исходные кривые'!$B$9:$N$9,1,COLUMNS('Исходные кривые'!$B$9:$N$9)),INDEX('Исходные кривые'!$B$9:$N$9,1,MATCH(G59,'Исходные кривые'!$B$8:$N$8,1))+(G59-INDEX('Исходные кривые'!$B$8:$N$8,1,MATCH(G59,'Исходные кривые'!$B$8:$N$8,1)))*(INDEX('Исходные кривые'!$B$9:$N$9,1,MATCH(G59,'Исходные кривые'!$B$8:$N$8,1)+1)-INDEX('Исходные кривые'!$B$9:$N$9,1,MATCH(G59,'Исходные кривые'!$B$8:$N$8,1)))/(INDEX('Исходные кривые'!$B$8:$N$8,1,MATCH(G59,'Исходные кривые'!$B$8:$N$8,1)+1)-INDEX('Исходные кривые'!$B$8:$N$8,1,MATCH(G59,'Исходные кривые'!$B$8:$N$8,1)))))</x:f>
        <x:v>17.56268493150685</x:v>
      </x:c>
      <x:c r="J59" s="173" t="n">
        <x:f>IF(G59&lt;=MIN('Исходные кривые'!$B$12:$K$12),INDEX('Исходные кривые'!$B$13:$K$13,1,1),IF(G59&gt;=MAX('Исходные кривые'!$B$12:$K$12),INDEX('Исходные кривые'!$B$13:$K$13,1,COLUMNS('Исходные кривые'!$B$13:$K$13)),INDEX('Исходные кривые'!$B$13:$K$13,1,MATCH(G59,'Исходные кривые'!$B$12:$K$12,1))+(G59-INDEX('Исходные кривые'!$B$12:$K$12,1,MATCH(G59,'Исходные кривые'!$B$12:$K$12,1)))*(INDEX('Исходные кривые'!$B$13:$K$13,1,MATCH(G59,'Исходные кривые'!$B$12:$K$12,1)+1)-INDEX('Исходные кривые'!$B$13:$K$13,1,MATCH(G59,'Исходные кривые'!$B$12:$K$12,1)))/(INDEX('Исходные кривые'!$B$12:$K$12,1,MATCH(G59,'Исходные кривые'!$B$12:$K$12,1)+1)-INDEX('Исходные кривые'!$B$12:$K$12,1,MATCH(G59,'Исходные кривые'!$B$12:$K$12,1)))))</x:f>
        <x:v>46.47123287671233</x:v>
      </x:c>
      <x:c r="K59" s="173" t="n">
        <x:f>IF(G59&lt;=MIN('Исходные кривые'!$B$12:$K$12),INDEX('Исходные кривые'!$B$14:$K$14,1,1),IF(G59&gt;=MAX('Исходные кривые'!$B$12:$K$12),INDEX('Исходные кривые'!$B$14:$K$14,1,COLUMNS('Исходные кривые'!$B$14:$K$14)),INDEX('Исходные кривые'!$B$14:$K$14,1,MATCH(G59,'Исходные кривые'!$B$12:$K$12,1))+(G59-INDEX('Исходные кривые'!$B$12:$K$12,1,MATCH(G59,'Исходные кривые'!$B$12:$K$12,1)))*(INDEX('Исходные кривые'!$B$14:$K$14,1,MATCH(G59,'Исходные кривые'!$B$12:$K$12,1)+1)-INDEX('Исходные кривые'!$B$14:$K$14,1,MATCH(G59,'Исходные кривые'!$B$12:$K$12,1)))/(INDEX('Исходные кривые'!$B$12:$K$12,1,MATCH(G59,'Исходные кривые'!$B$12:$K$12,1)+1)-INDEX('Исходные кривые'!$B$12:$K$12,1,MATCH(G59,'Исходные кривые'!$B$12:$K$12,1)))))</x:f>
        <x:v>-26.745205479452054</x:v>
      </x:c>
      <x:c r="L59" s="173" t="n">
        <x:f>IF(G59&lt;=MIN('Исходные кривые'!$B$17:$L$17),INDEX('Исходные кривые'!$B$18:$L$18,1,1),IF(G59&gt;=MAX('Исходные кривые'!$B$17:$L$17),INDEX('Исходные кривые'!$B$18:$L$18,1,COLUMNS('Исходные кривые'!$B$18:$L$18)),INDEX('Исходные кривые'!$B$18:$L$18,1,MATCH(G59,'Исходные кривые'!$B$17:$L$17,1))+(G59-INDEX('Исходные кривые'!$B$17:$L$17,1,MATCH(G59,'Исходные кривые'!$B$17:$L$17,1)))*(INDEX('Исходные кривые'!$B$18:$L$18,1,MATCH(G59,'Исходные кривые'!$B$17:$L$17,1)+1)-INDEX('Исходные кривые'!$B$18:$L$18,1,MATCH(G59,'Исходные кривые'!$B$17:$L$17,1)))/(INDEX('Исходные кривые'!$B$17:$L$17,1,MATCH(G59,'Исходные кривые'!$B$17:$L$17,1)+1)-INDEX('Исходные кривые'!$B$17:$L$17,1,MATCH(G59,'Исходные кривые'!$B$17:$L$17,1)))))</x:f>
        <x:v>5.4</x:v>
      </x:c>
      <x:c r="M59" s="173" t="n">
        <x:f>IF(G59&lt;=MIN('Исходные кривые'!$B$17:$L$17),INDEX('Исходные кривые'!$B$19:$L$19,1,1),IF(G59&gt;=MAX('Исходные кривые'!$B$17:$L$17),INDEX('Исходные кривые'!$B$19:$L$19,1,COLUMNS('Исходные кривые'!$B$19:$L$19)),INDEX('Исходные кривые'!$B$19:$L$19,1,MATCH(G59,'Исходные кривые'!$B$17:$L$17,1))+(G59-INDEX('Исходные кривые'!$B$17:$L$17,1,MATCH(G59,'Исходные кривые'!$B$17:$L$17,1)))*(INDEX('Исходные кривые'!$B$19:$L$19,1,MATCH(G59,'Исходные кривые'!$B$17:$L$17,1)+1)-INDEX('Исходные кривые'!$B$19:$L$19,1,MATCH(G59,'Исходные кривые'!$B$17:$L$17,1)))/(INDEX('Исходные кривые'!$B$17:$L$17,1,MATCH(G59,'Исходные кривые'!$B$17:$L$17,1)+1)-INDEX('Исходные кривые'!$B$17:$L$17,1,MATCH(G59,'Исходные кривые'!$B$17:$L$17,1)))))</x:f>
        <x:v>-1.9</x:v>
      </x:c>
    </x:row>
    <x:row r="60">
      <x:c r="A60" s="128" t="str">
        <x:v>Своп 3</x:v>
      </x:c>
      <x:c r="B60" s="129" t="n">
        <x:v>47300</x:v>
      </x:c>
      <x:c r="C60" s="129" t="n">
        <x:v>49126</x:v>
      </x:c>
      <x:c r="D60" s="128" t="n">
        <x:v>11</x:v>
      </x:c>
      <x:c r="E60" s="129" t="n">
        <x:v>48305</x:v>
      </x:c>
      <x:c r="F60" s="172" t="n">
        <x:f>E60-'Настройки'!$B$4</x:f>
        <x:v>2102</x:v>
      </x:c>
      <x:c r="G60" s="173" t="n">
        <x:f>F60/'Настройки'!$B$5</x:f>
        <x:v>5.758904109589041</x:v>
      </x:c>
      <x:c r="H60" s="173" t="n">
        <x:f>IF(G60&lt;=MIN('Исходные кривые'!$B$4:$L$4),INDEX('Исходные кривые'!$B$5:$L$5,1,1),IF(G60&gt;=MAX('Исходные кривые'!$B$4:$L$4),INDEX('Исходные кривые'!$B$5:$L$5,1,COLUMNS('Исходные кривые'!$B$5:$L$5)),INDEX('Исходные кривые'!$B$5:$L$5,1,MATCH(G60,'Исходные кривые'!$B$4:$L$4,1))+(G60-INDEX('Исходные кривые'!$B$4:$L$4,1,MATCH(G60,'Исходные кривые'!$B$4:$L$4,1)))*(INDEX('Исходные кривые'!$B$5:$L$5,1,MATCH(G60,'Исходные кривые'!$B$4:$L$4,1)+1)-INDEX('Исходные кривые'!$B$5:$L$5,1,MATCH(G60,'Исходные кривые'!$B$4:$L$4,1)))/(INDEX('Исходные кривые'!$B$4:$L$4,1,MATCH(G60,'Исходные кривые'!$B$4:$L$4,1)+1)-INDEX('Исходные кривые'!$B$4:$L$4,1,MATCH(G60,'Исходные кривые'!$B$4:$L$4,1)))))</x:f>
        <x:v>15.632493150684931</x:v>
      </x:c>
      <x:c r="I60" s="173" t="n">
        <x:f>IF(G60&lt;=MIN('Исходные кривые'!$B$8:$N$8),INDEX('Исходные кривые'!$B$9:$N$9,1,1),IF(G60&gt;=MAX('Исходные кривые'!$B$8:$N$8),INDEX('Исходные кривые'!$B$9:$N$9,1,COLUMNS('Исходные кривые'!$B$9:$N$9)),INDEX('Исходные кривые'!$B$9:$N$9,1,MATCH(G60,'Исходные кривые'!$B$8:$N$8,1))+(G60-INDEX('Исходные кривые'!$B$8:$N$8,1,MATCH(G60,'Исходные кривые'!$B$8:$N$8,1)))*(INDEX('Исходные кривые'!$B$9:$N$9,1,MATCH(G60,'Исходные кривые'!$B$8:$N$8,1)+1)-INDEX('Исходные кривые'!$B$9:$N$9,1,MATCH(G60,'Исходные кривые'!$B$8:$N$8,1)))/(INDEX('Исходные кривые'!$B$8:$N$8,1,MATCH(G60,'Исходные кривые'!$B$8:$N$8,1)+1)-INDEX('Исходные кривые'!$B$8:$N$8,1,MATCH(G60,'Исходные кривые'!$B$8:$N$8,1)))))</x:f>
        <x:v>17.632493150684933</x:v>
      </x:c>
      <x:c r="J60" s="173" t="n">
        <x:f>IF(G60&lt;=MIN('Исходные кривые'!$B$12:$K$12),INDEX('Исходные кривые'!$B$13:$K$13,1,1),IF(G60&gt;=MAX('Исходные кривые'!$B$12:$K$12),INDEX('Исходные кривые'!$B$13:$K$13,1,COLUMNS('Исходные кривые'!$B$13:$K$13)),INDEX('Исходные кривые'!$B$13:$K$13,1,MATCH(G60,'Исходные кривые'!$B$12:$K$12,1))+(G60-INDEX('Исходные кривые'!$B$12:$K$12,1,MATCH(G60,'Исходные кривые'!$B$12:$K$12,1)))*(INDEX('Исходные кривые'!$B$13:$K$13,1,MATCH(G60,'Исходные кривые'!$B$12:$K$12,1)+1)-INDEX('Исходные кривые'!$B$13:$K$13,1,MATCH(G60,'Исходные кривые'!$B$12:$K$12,1)))/(INDEX('Исходные кривые'!$B$12:$K$12,1,MATCH(G60,'Исходные кривые'!$B$12:$K$12,1)+1)-INDEX('Исходные кривые'!$B$12:$K$12,1,MATCH(G60,'Исходные кривые'!$B$12:$K$12,1)))))</x:f>
        <x:v>45.723287671232875</x:v>
      </x:c>
      <x:c r="K60" s="173" t="n">
        <x:f>IF(G60&lt;=MIN('Исходные кривые'!$B$12:$K$12),INDEX('Исходные кривые'!$B$14:$K$14,1,1),IF(G60&gt;=MAX('Исходные кривые'!$B$12:$K$12),INDEX('Исходные кривые'!$B$14:$K$14,1,COLUMNS('Исходные кривые'!$B$14:$K$14)),INDEX('Исходные кривые'!$B$14:$K$14,1,MATCH(G60,'Исходные кривые'!$B$12:$K$12,1))+(G60-INDEX('Исходные кривые'!$B$12:$K$12,1,MATCH(G60,'Исходные кривые'!$B$12:$K$12,1)))*(INDEX('Исходные кривые'!$B$14:$K$14,1,MATCH(G60,'Исходные кривые'!$B$12:$K$12,1)+1)-INDEX('Исходные кривые'!$B$14:$K$14,1,MATCH(G60,'Исходные кривые'!$B$12:$K$12,1)))/(INDEX('Исходные кривые'!$B$12:$K$12,1,MATCH(G60,'Исходные кривые'!$B$12:$K$12,1)+1)-INDEX('Исходные кривые'!$B$12:$K$12,1,MATCH(G60,'Исходные кривые'!$B$12:$K$12,1)))))</x:f>
        <x:v>-26.62054794520548</x:v>
      </x:c>
      <x:c r="L60" s="173" t="n">
        <x:f>IF(G60&lt;=MIN('Исходные кривые'!$B$17:$L$17),INDEX('Исходные кривые'!$B$18:$L$18,1,1),IF(G60&gt;=MAX('Исходные кривые'!$B$17:$L$17),INDEX('Исходные кривые'!$B$18:$L$18,1,COLUMNS('Исходные кривые'!$B$18:$L$18)),INDEX('Исходные кривые'!$B$18:$L$18,1,MATCH(G60,'Исходные кривые'!$B$17:$L$17,1))+(G60-INDEX('Исходные кривые'!$B$17:$L$17,1,MATCH(G60,'Исходные кривые'!$B$17:$L$17,1)))*(INDEX('Исходные кривые'!$B$18:$L$18,1,MATCH(G60,'Исходные кривые'!$B$17:$L$17,1)+1)-INDEX('Исходные кривые'!$B$18:$L$18,1,MATCH(G60,'Исходные кривые'!$B$17:$L$17,1)))/(INDEX('Исходные кривые'!$B$17:$L$17,1,MATCH(G60,'Исходные кривые'!$B$17:$L$17,1)+1)-INDEX('Исходные кривые'!$B$17:$L$17,1,MATCH(G60,'Исходные кривые'!$B$17:$L$17,1)))))</x:f>
        <x:v>5.4</x:v>
      </x:c>
      <x:c r="M60" s="173" t="n">
        <x:f>IF(G60&lt;=MIN('Исходные кривые'!$B$17:$L$17),INDEX('Исходные кривые'!$B$19:$L$19,1,1),IF(G60&gt;=MAX('Исходные кривые'!$B$17:$L$17),INDEX('Исходные кривые'!$B$19:$L$19,1,COLUMNS('Исходные кривые'!$B$19:$L$19)),INDEX('Исходные кривые'!$B$19:$L$19,1,MATCH(G60,'Исходные кривые'!$B$17:$L$17,1))+(G60-INDEX('Исходные кривые'!$B$17:$L$17,1,MATCH(G60,'Исходные кривые'!$B$17:$L$17,1)))*(INDEX('Исходные кривые'!$B$19:$L$19,1,MATCH(G60,'Исходные кривые'!$B$17:$L$17,1)+1)-INDEX('Исходные кривые'!$B$19:$L$19,1,MATCH(G60,'Исходные кривые'!$B$17:$L$17,1)))/(INDEX('Исходные кривые'!$B$17:$L$17,1,MATCH(G60,'Исходные кривые'!$B$17:$L$17,1)+1)-INDEX('Исходные кривые'!$B$17:$L$17,1,MATCH(G60,'Исходные кривые'!$B$17:$L$17,1)))))</x:f>
        <x:v>-1.9</x:v>
      </x:c>
    </x:row>
    <x:row r="61">
      <x:c r="A61" s="128" t="str">
        <x:v>Своп 3</x:v>
      </x:c>
      <x:c r="B61" s="129" t="n">
        <x:v>47300</x:v>
      </x:c>
      <x:c r="C61" s="129" t="n">
        <x:v>49126</x:v>
      </x:c>
      <x:c r="D61" s="128" t="n">
        <x:v>12</x:v>
      </x:c>
      <x:c r="E61" s="129" t="n">
        <x:v>48396</x:v>
      </x:c>
      <x:c r="F61" s="172" t="n">
        <x:f>E61-'Настройки'!$B$4</x:f>
        <x:v>2193</x:v>
      </x:c>
      <x:c r="G61" s="173" t="n">
        <x:f>F61/'Настройки'!$B$5</x:f>
        <x:v>6.008219178082192</x:v>
      </x:c>
      <x:c r="H61" s="173" t="n">
        <x:f>IF(G61&lt;=MIN('Исходные кривые'!$B$4:$L$4),INDEX('Исходные кривые'!$B$5:$L$5,1,1),IF(G61&gt;=MAX('Исходные кривые'!$B$4:$L$4),INDEX('Исходные кривые'!$B$5:$L$5,1,COLUMNS('Исходные кривые'!$B$5:$L$5)),INDEX('Исходные кривые'!$B$5:$L$5,1,MATCH(G61,'Исходные кривые'!$B$4:$L$4,1))+(G61-INDEX('Исходные кривые'!$B$4:$L$4,1,MATCH(G61,'Исходные кривые'!$B$4:$L$4,1)))*(INDEX('Исходные кривые'!$B$5:$L$5,1,MATCH(G61,'Исходные кривые'!$B$4:$L$4,1)+1)-INDEX('Исходные кривые'!$B$5:$L$5,1,MATCH(G61,'Исходные кривые'!$B$4:$L$4,1)))/(INDEX('Исходные кривые'!$B$4:$L$4,1,MATCH(G61,'Исходные кривые'!$B$4:$L$4,1)+1)-INDEX('Исходные кривые'!$B$4:$L$4,1,MATCH(G61,'Исходные кривые'!$B$4:$L$4,1)))))</x:f>
        <x:v>15.702301369863013</x:v>
      </x:c>
      <x:c r="I61" s="173" t="n">
        <x:f>IF(G61&lt;=MIN('Исходные кривые'!$B$8:$N$8),INDEX('Исходные кривые'!$B$9:$N$9,1,1),IF(G61&gt;=MAX('Исходные кривые'!$B$8:$N$8),INDEX('Исходные кривые'!$B$9:$N$9,1,COLUMNS('Исходные кривые'!$B$9:$N$9)),INDEX('Исходные кривые'!$B$9:$N$9,1,MATCH(G61,'Исходные кривые'!$B$8:$N$8,1))+(G61-INDEX('Исходные кривые'!$B$8:$N$8,1,MATCH(G61,'Исходные кривые'!$B$8:$N$8,1)))*(INDEX('Исходные кривые'!$B$9:$N$9,1,MATCH(G61,'Исходные кривые'!$B$8:$N$8,1)+1)-INDEX('Исходные кривые'!$B$9:$N$9,1,MATCH(G61,'Исходные кривые'!$B$8:$N$8,1)))/(INDEX('Исходные кривые'!$B$8:$N$8,1,MATCH(G61,'Исходные кривые'!$B$8:$N$8,1)+1)-INDEX('Исходные кривые'!$B$8:$N$8,1,MATCH(G61,'Исходные кривые'!$B$8:$N$8,1)))))</x:f>
        <x:v>17.702301369863015</x:v>
      </x:c>
      <x:c r="J61" s="173" t="n">
        <x:f>IF(G61&lt;=MIN('Исходные кривые'!$B$12:$K$12),INDEX('Исходные кривые'!$B$13:$K$13,1,1),IF(G61&gt;=MAX('Исходные кривые'!$B$12:$K$12),INDEX('Исходные кривые'!$B$13:$K$13,1,COLUMNS('Исходные кривые'!$B$13:$K$13)),INDEX('Исходные кривые'!$B$13:$K$13,1,MATCH(G61,'Исходные кривые'!$B$12:$K$12,1))+(G61-INDEX('Исходные кривые'!$B$12:$K$12,1,MATCH(G61,'Исходные кривые'!$B$12:$K$12,1)))*(INDEX('Исходные кривые'!$B$13:$K$13,1,MATCH(G61,'Исходные кривые'!$B$12:$K$12,1)+1)-INDEX('Исходные кривые'!$B$13:$K$13,1,MATCH(G61,'Исходные кривые'!$B$12:$K$12,1)))/(INDEX('Исходные кривые'!$B$12:$K$12,1,MATCH(G61,'Исходные кривые'!$B$12:$K$12,1)+1)-INDEX('Исходные кривые'!$B$12:$K$12,1,MATCH(G61,'Исходные кривые'!$B$12:$K$12,1)))))</x:f>
        <x:v>44.97534246575342</x:v>
      </x:c>
      <x:c r="K61" s="173" t="n">
        <x:f>IF(G61&lt;=MIN('Исходные кривые'!$B$12:$K$12),INDEX('Исходные кривые'!$B$14:$K$14,1,1),IF(G61&gt;=MAX('Исходные кривые'!$B$12:$K$12),INDEX('Исходные кривые'!$B$14:$K$14,1,COLUMNS('Исходные кривые'!$B$14:$K$14)),INDEX('Исходные кривые'!$B$14:$K$14,1,MATCH(G61,'Исходные кривые'!$B$12:$K$12,1))+(G61-INDEX('Исходные кривые'!$B$12:$K$12,1,MATCH(G61,'Исходные кривые'!$B$12:$K$12,1)))*(INDEX('Исходные кривые'!$B$14:$K$14,1,MATCH(G61,'Исходные кривые'!$B$12:$K$12,1)+1)-INDEX('Исходные кривые'!$B$14:$K$14,1,MATCH(G61,'Исходные кривые'!$B$12:$K$12,1)))/(INDEX('Исходные кривые'!$B$12:$K$12,1,MATCH(G61,'Исходные кривые'!$B$12:$K$12,1)+1)-INDEX('Исходные кривые'!$B$12:$K$12,1,MATCH(G61,'Исходные кривые'!$B$12:$K$12,1)))))</x:f>
        <x:v>-26.495890410958904</x:v>
      </x:c>
      <x:c r="L61" s="173" t="n">
        <x:f>IF(G61&lt;=MIN('Исходные кривые'!$B$17:$L$17),INDEX('Исходные кривые'!$B$18:$L$18,1,1),IF(G61&gt;=MAX('Исходные кривые'!$B$17:$L$17),INDEX('Исходные кривые'!$B$18:$L$18,1,COLUMNS('Исходные кривые'!$B$18:$L$18)),INDEX('Исходные кривые'!$B$18:$L$18,1,MATCH(G61,'Исходные кривые'!$B$17:$L$17,1))+(G61-INDEX('Исходные кривые'!$B$17:$L$17,1,MATCH(G61,'Исходные кривые'!$B$17:$L$17,1)))*(INDEX('Исходные кривые'!$B$18:$L$18,1,MATCH(G61,'Исходные кривые'!$B$17:$L$17,1)+1)-INDEX('Исходные кривые'!$B$18:$L$18,1,MATCH(G61,'Исходные кривые'!$B$17:$L$17,1)))/(INDEX('Исходные кривые'!$B$17:$L$17,1,MATCH(G61,'Исходные кривые'!$B$17:$L$17,1)+1)-INDEX('Исходные кривые'!$B$17:$L$17,1,MATCH(G61,'Исходные кривые'!$B$17:$L$17,1)))))</x:f>
        <x:v>5.4</x:v>
      </x:c>
      <x:c r="M61" s="173" t="n">
        <x:f>IF(G61&lt;=MIN('Исходные кривые'!$B$17:$L$17),INDEX('Исходные кривые'!$B$19:$L$19,1,1),IF(G61&gt;=MAX('Исходные кривые'!$B$17:$L$17),INDEX('Исходные кривые'!$B$19:$L$19,1,COLUMNS('Исходные кривые'!$B$19:$L$19)),INDEX('Исходные кривые'!$B$19:$L$19,1,MATCH(G61,'Исходные кривые'!$B$17:$L$17,1))+(G61-INDEX('Исходные кривые'!$B$17:$L$17,1,MATCH(G61,'Исходные кривые'!$B$17:$L$17,1)))*(INDEX('Исходные кривые'!$B$19:$L$19,1,MATCH(G61,'Исходные кривые'!$B$17:$L$17,1)+1)-INDEX('Исходные кривые'!$B$19:$L$19,1,MATCH(G61,'Исходные кривые'!$B$17:$L$17,1)))/(INDEX('Исходные кривые'!$B$17:$L$17,1,MATCH(G61,'Исходные кривые'!$B$17:$L$17,1)+1)-INDEX('Исходные кривые'!$B$17:$L$17,1,MATCH(G61,'Исходные кривые'!$B$17:$L$17,1)))))</x:f>
        <x:v>-1.9</x:v>
      </x:c>
    </x:row>
    <x:row r="62">
      <x:c r="A62" s="128" t="str">
        <x:v>Своп 3</x:v>
      </x:c>
      <x:c r="B62" s="129" t="n">
        <x:v>47300</x:v>
      </x:c>
      <x:c r="C62" s="129" t="n">
        <x:v>49126</x:v>
      </x:c>
      <x:c r="D62" s="128" t="n">
        <x:v>13</x:v>
      </x:c>
      <x:c r="E62" s="129" t="n">
        <x:v>48488</x:v>
      </x:c>
      <x:c r="F62" s="172" t="n">
        <x:f>E62-'Настройки'!$B$4</x:f>
        <x:v>2285</x:v>
      </x:c>
      <x:c r="G62" s="173" t="n">
        <x:f>F62/'Настройки'!$B$5</x:f>
        <x:v>6.260273972602739</x:v>
      </x:c>
      <x:c r="H62" s="173" t="n">
        <x:f>IF(G62&lt;=MIN('Исходные кривые'!$B$4:$L$4),INDEX('Исходные кривые'!$B$5:$L$5,1,1),IF(G62&gt;=MAX('Исходные кривые'!$B$4:$L$4),INDEX('Исходные кривые'!$B$5:$L$5,1,COLUMNS('Исходные кривые'!$B$5:$L$5)),INDEX('Исходные кривые'!$B$5:$L$5,1,MATCH(G62,'Исходные кривые'!$B$4:$L$4,1))+(G62-INDEX('Исходные кривые'!$B$4:$L$4,1,MATCH(G62,'Исходные кривые'!$B$4:$L$4,1)))*(INDEX('Исходные кривые'!$B$5:$L$5,1,MATCH(G62,'Исходные кривые'!$B$4:$L$4,1)+1)-INDEX('Исходные кривые'!$B$5:$L$5,1,MATCH(G62,'Исходные кривые'!$B$4:$L$4,1)))/(INDEX('Исходные кривые'!$B$4:$L$4,1,MATCH(G62,'Исходные кривые'!$B$4:$L$4,1)+1)-INDEX('Исходные кривые'!$B$4:$L$4,1,MATCH(G62,'Исходные кривые'!$B$4:$L$4,1)))))</x:f>
        <x:v>15.772876712328767</x:v>
      </x:c>
      <x:c r="I62" s="173" t="n">
        <x:f>IF(G62&lt;=MIN('Исходные кривые'!$B$8:$N$8),INDEX('Исходные кривые'!$B$9:$N$9,1,1),IF(G62&gt;=MAX('Исходные кривые'!$B$8:$N$8),INDEX('Исходные кривые'!$B$9:$N$9,1,COLUMNS('Исходные кривые'!$B$9:$N$9)),INDEX('Исходные кривые'!$B$9:$N$9,1,MATCH(G62,'Исходные кривые'!$B$8:$N$8,1))+(G62-INDEX('Исходные кривые'!$B$8:$N$8,1,MATCH(G62,'Исходные кривые'!$B$8:$N$8,1)))*(INDEX('Исходные кривые'!$B$9:$N$9,1,MATCH(G62,'Исходные кривые'!$B$8:$N$8,1)+1)-INDEX('Исходные кривые'!$B$9:$N$9,1,MATCH(G62,'Исходные кривые'!$B$8:$N$8,1)))/(INDEX('Исходные кривые'!$B$8:$N$8,1,MATCH(G62,'Исходные кривые'!$B$8:$N$8,1)+1)-INDEX('Исходные кривые'!$B$8:$N$8,1,MATCH(G62,'Исходные кривые'!$B$8:$N$8,1)))))</x:f>
        <x:v>17.772876712328767</x:v>
      </x:c>
      <x:c r="J62" s="173" t="n">
        <x:f>IF(G62&lt;=MIN('Исходные кривые'!$B$12:$K$12),INDEX('Исходные кривые'!$B$13:$K$13,1,1),IF(G62&gt;=MAX('Исходные кривые'!$B$12:$K$12),INDEX('Исходные кривые'!$B$13:$K$13,1,COLUMNS('Исходные кривые'!$B$13:$K$13)),INDEX('Исходные кривые'!$B$13:$K$13,1,MATCH(G62,'Исходные кривые'!$B$12:$K$12,1))+(G62-INDEX('Исходные кривые'!$B$12:$K$12,1,MATCH(G62,'Исходные кривые'!$B$12:$K$12,1)))*(INDEX('Исходные кривые'!$B$13:$K$13,1,MATCH(G62,'Исходные кривые'!$B$12:$K$12,1)+1)-INDEX('Исходные кривые'!$B$13:$K$13,1,MATCH(G62,'Исходные кривые'!$B$12:$K$12,1)))/(INDEX('Исходные кривые'!$B$12:$K$12,1,MATCH(G62,'Исходные кривые'!$B$12:$K$12,1)+1)-INDEX('Исходные кривые'!$B$12:$K$12,1,MATCH(G62,'Исходные кривые'!$B$12:$K$12,1)))))</x:f>
        <x:v>44.21917808219178</x:v>
      </x:c>
      <x:c r="K62" s="173" t="n">
        <x:f>IF(G62&lt;=MIN('Исходные кривые'!$B$12:$K$12),INDEX('Исходные кривые'!$B$14:$K$14,1,1),IF(G62&gt;=MAX('Исходные кривые'!$B$12:$K$12),INDEX('Исходные кривые'!$B$14:$K$14,1,COLUMNS('Исходные кривые'!$B$14:$K$14)),INDEX('Исходные кривые'!$B$14:$K$14,1,MATCH(G62,'Исходные кривые'!$B$12:$K$12,1))+(G62-INDEX('Исходные кривые'!$B$12:$K$12,1,MATCH(G62,'Исходные кривые'!$B$12:$K$12,1)))*(INDEX('Исходные кривые'!$B$14:$K$14,1,MATCH(G62,'Исходные кривые'!$B$12:$K$12,1)+1)-INDEX('Исходные кривые'!$B$14:$K$14,1,MATCH(G62,'Исходные кривые'!$B$12:$K$12,1)))/(INDEX('Исходные кривые'!$B$12:$K$12,1,MATCH(G62,'Исходные кривые'!$B$12:$K$12,1)+1)-INDEX('Исходные кривые'!$B$12:$K$12,1,MATCH(G62,'Исходные кривые'!$B$12:$K$12,1)))))</x:f>
        <x:v>-26.36986301369863</x:v>
      </x:c>
      <x:c r="L62" s="173" t="n">
        <x:f>IF(G62&lt;=MIN('Исходные кривые'!$B$17:$L$17),INDEX('Исходные кривые'!$B$18:$L$18,1,1),IF(G62&gt;=MAX('Исходные кривые'!$B$17:$L$17),INDEX('Исходные кривые'!$B$18:$L$18,1,COLUMNS('Исходные кривые'!$B$18:$L$18)),INDEX('Исходные кривые'!$B$18:$L$18,1,MATCH(G62,'Исходные кривые'!$B$17:$L$17,1))+(G62-INDEX('Исходные кривые'!$B$17:$L$17,1,MATCH(G62,'Исходные кривые'!$B$17:$L$17,1)))*(INDEX('Исходные кривые'!$B$18:$L$18,1,MATCH(G62,'Исходные кривые'!$B$17:$L$17,1)+1)-INDEX('Исходные кривые'!$B$18:$L$18,1,MATCH(G62,'Исходные кривые'!$B$17:$L$17,1)))/(INDEX('Исходные кривые'!$B$17:$L$17,1,MATCH(G62,'Исходные кривые'!$B$17:$L$17,1)+1)-INDEX('Исходные кривые'!$B$17:$L$17,1,MATCH(G62,'Исходные кривые'!$B$17:$L$17,1)))))</x:f>
        <x:v>5.4</x:v>
      </x:c>
      <x:c r="M62" s="173" t="n">
        <x:f>IF(G62&lt;=MIN('Исходные кривые'!$B$17:$L$17),INDEX('Исходные кривые'!$B$19:$L$19,1,1),IF(G62&gt;=MAX('Исходные кривые'!$B$17:$L$17),INDEX('Исходные кривые'!$B$19:$L$19,1,COLUMNS('Исходные кривые'!$B$19:$L$19)),INDEX('Исходные кривые'!$B$19:$L$19,1,MATCH(G62,'Исходные кривые'!$B$17:$L$17,1))+(G62-INDEX('Исходные кривые'!$B$17:$L$17,1,MATCH(G62,'Исходные кривые'!$B$17:$L$17,1)))*(INDEX('Исходные кривые'!$B$19:$L$19,1,MATCH(G62,'Исходные кривые'!$B$17:$L$17,1)+1)-INDEX('Исходные кривые'!$B$19:$L$19,1,MATCH(G62,'Исходные кривые'!$B$17:$L$17,1)))/(INDEX('Исходные кривые'!$B$17:$L$17,1,MATCH(G62,'Исходные кривые'!$B$17:$L$17,1)+1)-INDEX('Исходные кривые'!$B$17:$L$17,1,MATCH(G62,'Исходные кривые'!$B$17:$L$17,1)))))</x:f>
        <x:v>-1.9</x:v>
      </x:c>
    </x:row>
    <x:row r="63">
      <x:c r="A63" s="128" t="str">
        <x:v>Своп 3</x:v>
      </x:c>
      <x:c r="B63" s="129" t="n">
        <x:v>47300</x:v>
      </x:c>
      <x:c r="C63" s="129" t="n">
        <x:v>49126</x:v>
      </x:c>
      <x:c r="D63" s="128" t="n">
        <x:v>14</x:v>
      </x:c>
      <x:c r="E63" s="129" t="n">
        <x:v>48580</x:v>
      </x:c>
      <x:c r="F63" s="172" t="n">
        <x:f>E63-'Настройки'!$B$4</x:f>
        <x:v>2377</x:v>
      </x:c>
      <x:c r="G63" s="173" t="n">
        <x:f>F63/'Настройки'!$B$5</x:f>
        <x:v>6.512328767123288</x:v>
      </x:c>
      <x:c r="H63" s="173" t="n">
        <x:f>IF(G63&lt;=MIN('Исходные кривые'!$B$4:$L$4),INDEX('Исходные кривые'!$B$5:$L$5,1,1),IF(G63&gt;=MAX('Исходные кривые'!$B$4:$L$4),INDEX('Исходные кривые'!$B$5:$L$5,1,COLUMNS('Исходные кривые'!$B$5:$L$5)),INDEX('Исходные кривые'!$B$5:$L$5,1,MATCH(G63,'Исходные кривые'!$B$4:$L$4,1))+(G63-INDEX('Исходные кривые'!$B$4:$L$4,1,MATCH(G63,'Исходные кривые'!$B$4:$L$4,1)))*(INDEX('Исходные кривые'!$B$5:$L$5,1,MATCH(G63,'Исходные кривые'!$B$4:$L$4,1)+1)-INDEX('Исходные кривые'!$B$5:$L$5,1,MATCH(G63,'Исходные кривые'!$B$4:$L$4,1)))/(INDEX('Исходные кривые'!$B$4:$L$4,1,MATCH(G63,'Исходные кривые'!$B$4:$L$4,1)+1)-INDEX('Исходные кривые'!$B$4:$L$4,1,MATCH(G63,'Исходные кривые'!$B$4:$L$4,1)))))</x:f>
        <x:v>15.84345205479452</x:v>
      </x:c>
      <x:c r="I63" s="173" t="n">
        <x:f>IF(G63&lt;=MIN('Исходные кривые'!$B$8:$N$8),INDEX('Исходные кривые'!$B$9:$N$9,1,1),IF(G63&gt;=MAX('Исходные кривые'!$B$8:$N$8),INDEX('Исходные кривые'!$B$9:$N$9,1,COLUMNS('Исходные кривые'!$B$9:$N$9)),INDEX('Исходные кривые'!$B$9:$N$9,1,MATCH(G63,'Исходные кривые'!$B$8:$N$8,1))+(G63-INDEX('Исходные кривые'!$B$8:$N$8,1,MATCH(G63,'Исходные кривые'!$B$8:$N$8,1)))*(INDEX('Исходные кривые'!$B$9:$N$9,1,MATCH(G63,'Исходные кривые'!$B$8:$N$8,1)+1)-INDEX('Исходные кривые'!$B$9:$N$9,1,MATCH(G63,'Исходные кривые'!$B$8:$N$8,1)))/(INDEX('Исходные кривые'!$B$8:$N$8,1,MATCH(G63,'Исходные кривые'!$B$8:$N$8,1)+1)-INDEX('Исходные кривые'!$B$8:$N$8,1,MATCH(G63,'Исходные кривые'!$B$8:$N$8,1)))))</x:f>
        <x:v>17.843452054794522</x:v>
      </x:c>
      <x:c r="J63" s="173" t="n">
        <x:f>IF(G63&lt;=MIN('Исходные кривые'!$B$12:$K$12),INDEX('Исходные кривые'!$B$13:$K$13,1,1),IF(G63&gt;=MAX('Исходные кривые'!$B$12:$K$12),INDEX('Исходные кривые'!$B$13:$K$13,1,COLUMNS('Исходные кривые'!$B$13:$K$13)),INDEX('Исходные кривые'!$B$13:$K$13,1,MATCH(G63,'Исходные кривые'!$B$12:$K$12,1))+(G63-INDEX('Исходные кривые'!$B$12:$K$12,1,MATCH(G63,'Исходные кривые'!$B$12:$K$12,1)))*(INDEX('Исходные кривые'!$B$13:$K$13,1,MATCH(G63,'Исходные кривые'!$B$12:$K$12,1)+1)-INDEX('Исходные кривые'!$B$13:$K$13,1,MATCH(G63,'Исходные кривые'!$B$12:$K$12,1)))/(INDEX('Исходные кривые'!$B$12:$K$12,1,MATCH(G63,'Исходные кривые'!$B$12:$K$12,1)+1)-INDEX('Исходные кривые'!$B$12:$K$12,1,MATCH(G63,'Исходные кривые'!$B$12:$K$12,1)))))</x:f>
        <x:v>43.463013698630135</x:v>
      </x:c>
      <x:c r="K63" s="173" t="n">
        <x:f>IF(G63&lt;=MIN('Исходные кривые'!$B$12:$K$12),INDEX('Исходные кривые'!$B$14:$K$14,1,1),IF(G63&gt;=MAX('Исходные кривые'!$B$12:$K$12),INDEX('Исходные кривые'!$B$14:$K$14,1,COLUMNS('Исходные кривые'!$B$14:$K$14)),INDEX('Исходные кривые'!$B$14:$K$14,1,MATCH(G63,'Исходные кривые'!$B$12:$K$12,1))+(G63-INDEX('Исходные кривые'!$B$12:$K$12,1,MATCH(G63,'Исходные кривые'!$B$12:$K$12,1)))*(INDEX('Исходные кривые'!$B$14:$K$14,1,MATCH(G63,'Исходные кривые'!$B$12:$K$12,1)+1)-INDEX('Исходные кривые'!$B$14:$K$14,1,MATCH(G63,'Исходные кривые'!$B$12:$K$12,1)))/(INDEX('Исходные кривые'!$B$12:$K$12,1,MATCH(G63,'Исходные кривые'!$B$12:$K$12,1)+1)-INDEX('Исходные кривые'!$B$12:$K$12,1,MATCH(G63,'Исходные кривые'!$B$12:$K$12,1)))))</x:f>
        <x:v>-26.243835616438357</x:v>
      </x:c>
      <x:c r="L63" s="173" t="n">
        <x:f>IF(G63&lt;=MIN('Исходные кривые'!$B$17:$L$17),INDEX('Исходные кривые'!$B$18:$L$18,1,1),IF(G63&gt;=MAX('Исходные кривые'!$B$17:$L$17),INDEX('Исходные кривые'!$B$18:$L$18,1,COLUMNS('Исходные кривые'!$B$18:$L$18)),INDEX('Исходные кривые'!$B$18:$L$18,1,MATCH(G63,'Исходные кривые'!$B$17:$L$17,1))+(G63-INDEX('Исходные кривые'!$B$17:$L$17,1,MATCH(G63,'Исходные кривые'!$B$17:$L$17,1)))*(INDEX('Исходные кривые'!$B$18:$L$18,1,MATCH(G63,'Исходные кривые'!$B$17:$L$17,1)+1)-INDEX('Исходные кривые'!$B$18:$L$18,1,MATCH(G63,'Исходные кривые'!$B$17:$L$17,1)))/(INDEX('Исходные кривые'!$B$17:$L$17,1,MATCH(G63,'Исходные кривые'!$B$17:$L$17,1)+1)-INDEX('Исходные кривые'!$B$17:$L$17,1,MATCH(G63,'Исходные кривые'!$B$17:$L$17,1)))))</x:f>
        <x:v>5.4</x:v>
      </x:c>
      <x:c r="M63" s="173" t="n">
        <x:f>IF(G63&lt;=MIN('Исходные кривые'!$B$17:$L$17),INDEX('Исходные кривые'!$B$19:$L$19,1,1),IF(G63&gt;=MAX('Исходные кривые'!$B$17:$L$17),INDEX('Исходные кривые'!$B$19:$L$19,1,COLUMNS('Исходные кривые'!$B$19:$L$19)),INDEX('Исходные кривые'!$B$19:$L$19,1,MATCH(G63,'Исходные кривые'!$B$17:$L$17,1))+(G63-INDEX('Исходные кривые'!$B$17:$L$17,1,MATCH(G63,'Исходные кривые'!$B$17:$L$17,1)))*(INDEX('Исходные кривые'!$B$19:$L$19,1,MATCH(G63,'Исходные кривые'!$B$17:$L$17,1)+1)-INDEX('Исходные кривые'!$B$19:$L$19,1,MATCH(G63,'Исходные кривые'!$B$17:$L$17,1)))/(INDEX('Исходные кривые'!$B$17:$L$17,1,MATCH(G63,'Исходные кривые'!$B$17:$L$17,1)+1)-INDEX('Исходные кривые'!$B$17:$L$17,1,MATCH(G63,'Исходные кривые'!$B$17:$L$17,1)))))</x:f>
        <x:v>-1.9</x:v>
      </x:c>
    </x:row>
    <x:row r="64">
      <x:c r="A64" s="128" t="str">
        <x:v>Своп 3</x:v>
      </x:c>
      <x:c r="B64" s="129" t="n">
        <x:v>47300</x:v>
      </x:c>
      <x:c r="C64" s="129" t="n">
        <x:v>49126</x:v>
      </x:c>
      <x:c r="D64" s="128" t="n">
        <x:v>15</x:v>
      </x:c>
      <x:c r="E64" s="129" t="n">
        <x:v>48670</x:v>
      </x:c>
      <x:c r="F64" s="172" t="n">
        <x:f>E64-'Настройки'!$B$4</x:f>
        <x:v>2467</x:v>
      </x:c>
      <x:c r="G64" s="173" t="n">
        <x:f>F64/'Настройки'!$B$5</x:f>
        <x:v>6.758904109589041</x:v>
      </x:c>
      <x:c r="H64" s="173" t="n">
        <x:f>IF(G64&lt;=MIN('Исходные кривые'!$B$4:$L$4),INDEX('Исходные кривые'!$B$5:$L$5,1,1),IF(G64&gt;=MAX('Исходные кривые'!$B$4:$L$4),INDEX('Исходные кривые'!$B$5:$L$5,1,COLUMNS('Исходные кривые'!$B$5:$L$5)),INDEX('Исходные кривые'!$B$5:$L$5,1,MATCH(G64,'Исходные кривые'!$B$4:$L$4,1))+(G64-INDEX('Исходные кривые'!$B$4:$L$4,1,MATCH(G64,'Исходные кривые'!$B$4:$L$4,1)))*(INDEX('Исходные кривые'!$B$5:$L$5,1,MATCH(G64,'Исходные кривые'!$B$4:$L$4,1)+1)-INDEX('Исходные кривые'!$B$5:$L$5,1,MATCH(G64,'Исходные кривые'!$B$4:$L$4,1)))/(INDEX('Исходные кривые'!$B$4:$L$4,1,MATCH(G64,'Исходные кривые'!$B$4:$L$4,1)+1)-INDEX('Исходные кривые'!$B$4:$L$4,1,MATCH(G64,'Исходные кривые'!$B$4:$L$4,1)))))</x:f>
        <x:v>15.912493150684933</x:v>
      </x:c>
      <x:c r="I64" s="173" t="n">
        <x:f>IF(G64&lt;=MIN('Исходные кривые'!$B$8:$N$8),INDEX('Исходные кривые'!$B$9:$N$9,1,1),IF(G64&gt;=MAX('Исходные кривые'!$B$8:$N$8),INDEX('Исходные кривые'!$B$9:$N$9,1,COLUMNS('Исходные кривые'!$B$9:$N$9)),INDEX('Исходные кривые'!$B$9:$N$9,1,MATCH(G64,'Исходные кривые'!$B$8:$N$8,1))+(G64-INDEX('Исходные кривые'!$B$8:$N$8,1,MATCH(G64,'Исходные кривые'!$B$8:$N$8,1)))*(INDEX('Исходные кривые'!$B$9:$N$9,1,MATCH(G64,'Исходные кривые'!$B$8:$N$8,1)+1)-INDEX('Исходные кривые'!$B$9:$N$9,1,MATCH(G64,'Исходные кривые'!$B$8:$N$8,1)))/(INDEX('Исходные кривые'!$B$8:$N$8,1,MATCH(G64,'Исходные кривые'!$B$8:$N$8,1)+1)-INDEX('Исходные кривые'!$B$8:$N$8,1,MATCH(G64,'Исходные кривые'!$B$8:$N$8,1)))))</x:f>
        <x:v>17.91249315068493</x:v>
      </x:c>
      <x:c r="J64" s="173" t="n">
        <x:f>IF(G64&lt;=MIN('Исходные кривые'!$B$12:$K$12),INDEX('Исходные кривые'!$B$13:$K$13,1,1),IF(G64&gt;=MAX('Исходные кривые'!$B$12:$K$12),INDEX('Исходные кривые'!$B$13:$K$13,1,COLUMNS('Исходные кривые'!$B$13:$K$13)),INDEX('Исходные кривые'!$B$13:$K$13,1,MATCH(G64,'Исходные кривые'!$B$12:$K$12,1))+(G64-INDEX('Исходные кривые'!$B$12:$K$12,1,MATCH(G64,'Исходные кривые'!$B$12:$K$12,1)))*(INDEX('Исходные кривые'!$B$13:$K$13,1,MATCH(G64,'Исходные кривые'!$B$12:$K$12,1)+1)-INDEX('Исходные кривые'!$B$13:$K$13,1,MATCH(G64,'Исходные кривые'!$B$12:$K$12,1)))/(INDEX('Исходные кривые'!$B$12:$K$12,1,MATCH(G64,'Исходные кривые'!$B$12:$K$12,1)+1)-INDEX('Исходные кривые'!$B$12:$K$12,1,MATCH(G64,'Исходные кривые'!$B$12:$K$12,1)))))</x:f>
        <x:v>42.723287671232875</x:v>
      </x:c>
      <x:c r="K64" s="173" t="n">
        <x:f>IF(G64&lt;=MIN('Исходные кривые'!$B$12:$K$12),INDEX('Исходные кривые'!$B$14:$K$14,1,1),IF(G64&gt;=MAX('Исходные кривые'!$B$12:$K$12),INDEX('Исходные кривые'!$B$14:$K$14,1,COLUMNS('Исходные кривые'!$B$14:$K$14)),INDEX('Исходные кривые'!$B$14:$K$14,1,MATCH(G64,'Исходные кривые'!$B$12:$K$12,1))+(G64-INDEX('Исходные кривые'!$B$12:$K$12,1,MATCH(G64,'Исходные кривые'!$B$12:$K$12,1)))*(INDEX('Исходные кривые'!$B$14:$K$14,1,MATCH(G64,'Исходные кривые'!$B$12:$K$12,1)+1)-INDEX('Исходные кривые'!$B$14:$K$14,1,MATCH(G64,'Исходные кривые'!$B$12:$K$12,1)))/(INDEX('Исходные кривые'!$B$12:$K$12,1,MATCH(G64,'Исходные кривые'!$B$12:$K$12,1)+1)-INDEX('Исходные кривые'!$B$12:$K$12,1,MATCH(G64,'Исходные кривые'!$B$12:$K$12,1)))))</x:f>
        <x:v>-26.12054794520548</x:v>
      </x:c>
      <x:c r="L64" s="173" t="n">
        <x:f>IF(G64&lt;=MIN('Исходные кривые'!$B$17:$L$17),INDEX('Исходные кривые'!$B$18:$L$18,1,1),IF(G64&gt;=MAX('Исходные кривые'!$B$17:$L$17),INDEX('Исходные кривые'!$B$18:$L$18,1,COLUMNS('Исходные кривые'!$B$18:$L$18)),INDEX('Исходные кривые'!$B$18:$L$18,1,MATCH(G64,'Исходные кривые'!$B$17:$L$17,1))+(G64-INDEX('Исходные кривые'!$B$17:$L$17,1,MATCH(G64,'Исходные кривые'!$B$17:$L$17,1)))*(INDEX('Исходные кривые'!$B$18:$L$18,1,MATCH(G64,'Исходные кривые'!$B$17:$L$17,1)+1)-INDEX('Исходные кривые'!$B$18:$L$18,1,MATCH(G64,'Исходные кривые'!$B$17:$L$17,1)))/(INDEX('Исходные кривые'!$B$17:$L$17,1,MATCH(G64,'Исходные кривые'!$B$17:$L$17,1)+1)-INDEX('Исходные кривые'!$B$17:$L$17,1,MATCH(G64,'Исходные кривые'!$B$17:$L$17,1)))))</x:f>
        <x:v>5.4</x:v>
      </x:c>
      <x:c r="M64" s="173" t="n">
        <x:f>IF(G64&lt;=MIN('Исходные кривые'!$B$17:$L$17),INDEX('Исходные кривые'!$B$19:$L$19,1,1),IF(G64&gt;=MAX('Исходные кривые'!$B$17:$L$17),INDEX('Исходные кривые'!$B$19:$L$19,1,COLUMNS('Исходные кривые'!$B$19:$L$19)),INDEX('Исходные кривые'!$B$19:$L$19,1,MATCH(G64,'Исходные кривые'!$B$17:$L$17,1))+(G64-INDEX('Исходные кривые'!$B$17:$L$17,1,MATCH(G64,'Исходные кривые'!$B$17:$L$17,1)))*(INDEX('Исходные кривые'!$B$19:$L$19,1,MATCH(G64,'Исходные кривые'!$B$17:$L$17,1)+1)-INDEX('Исходные кривые'!$B$19:$L$19,1,MATCH(G64,'Исходные кривые'!$B$17:$L$17,1)))/(INDEX('Исходные кривые'!$B$17:$L$17,1,MATCH(G64,'Исходные кривые'!$B$17:$L$17,1)+1)-INDEX('Исходные кривые'!$B$17:$L$17,1,MATCH(G64,'Исходные кривые'!$B$17:$L$17,1)))))</x:f>
        <x:v>-1.9</x:v>
      </x:c>
    </x:row>
    <x:row r="65">
      <x:c r="A65" s="128" t="str">
        <x:v>Своп 3</x:v>
      </x:c>
      <x:c r="B65" s="129" t="n">
        <x:v>47300</x:v>
      </x:c>
      <x:c r="C65" s="129" t="n">
        <x:v>49126</x:v>
      </x:c>
      <x:c r="D65" s="128" t="n">
        <x:v>16</x:v>
      </x:c>
      <x:c r="E65" s="129" t="n">
        <x:v>48761</x:v>
      </x:c>
      <x:c r="F65" s="172" t="n">
        <x:f>E65-'Настройки'!$B$4</x:f>
        <x:v>2558</x:v>
      </x:c>
      <x:c r="G65" s="173" t="n">
        <x:f>F65/'Настройки'!$B$5</x:f>
        <x:v>7.008219178082192</x:v>
      </x:c>
      <x:c r="H65" s="173" t="n">
        <x:f>IF(G65&lt;=MIN('Исходные кривые'!$B$4:$L$4),INDEX('Исходные кривые'!$B$5:$L$5,1,1),IF(G65&gt;=MAX('Исходные кривые'!$B$4:$L$4),INDEX('Исходные кривые'!$B$5:$L$5,1,COLUMNS('Исходные кривые'!$B$5:$L$5)),INDEX('Исходные кривые'!$B$5:$L$5,1,MATCH(G65,'Исходные кривые'!$B$4:$L$4,1))+(G65-INDEX('Исходные кривые'!$B$4:$L$4,1,MATCH(G65,'Исходные кривые'!$B$4:$L$4,1)))*(INDEX('Исходные кривые'!$B$5:$L$5,1,MATCH(G65,'Исходные кривые'!$B$4:$L$4,1)+1)-INDEX('Исходные кривые'!$B$5:$L$5,1,MATCH(G65,'Исходные кривые'!$B$4:$L$4,1)))/(INDEX('Исходные кривые'!$B$4:$L$4,1,MATCH(G65,'Исходные кривые'!$B$4:$L$4,1)+1)-INDEX('Исходные кривые'!$B$4:$L$4,1,MATCH(G65,'Исходные кривые'!$B$4:$L$4,1)))))</x:f>
        <x:v>15.981095890410959</x:v>
      </x:c>
      <x:c r="I65" s="173" t="n">
        <x:f>IF(G65&lt;=MIN('Исходные кривые'!$B$8:$N$8),INDEX('Исходные кривые'!$B$9:$N$9,1,1),IF(G65&gt;=MAX('Исходные кривые'!$B$8:$N$8),INDEX('Исходные кривые'!$B$9:$N$9,1,COLUMNS('Исходные кривые'!$B$9:$N$9)),INDEX('Исходные кривые'!$B$9:$N$9,1,MATCH(G65,'Исходные кривые'!$B$8:$N$8,1))+(G65-INDEX('Исходные кривые'!$B$8:$N$8,1,MATCH(G65,'Исходные кривые'!$B$8:$N$8,1)))*(INDEX('Исходные кривые'!$B$9:$N$9,1,MATCH(G65,'Исходные кривые'!$B$8:$N$8,1)+1)-INDEX('Исходные кривые'!$B$9:$N$9,1,MATCH(G65,'Исходные кривые'!$B$8:$N$8,1)))/(INDEX('Исходные кривые'!$B$8:$N$8,1,MATCH(G65,'Исходные кривые'!$B$8:$N$8,1)+1)-INDEX('Исходные кривые'!$B$8:$N$8,1,MATCH(G65,'Исходные кривые'!$B$8:$N$8,1)))))</x:f>
        <x:v>17.98109589041096</x:v>
      </x:c>
      <x:c r="J65" s="173" t="n">
        <x:f>IF(G65&lt;=MIN('Исходные кривые'!$B$12:$K$12),INDEX('Исходные кривые'!$B$13:$K$13,1,1),IF(G65&gt;=MAX('Исходные кривые'!$B$12:$K$12),INDEX('Исходные кривые'!$B$13:$K$13,1,COLUMNS('Исходные кривые'!$B$13:$K$13)),INDEX('Исходные кривые'!$B$13:$K$13,1,MATCH(G65,'Исходные кривые'!$B$12:$K$12,1))+(G65-INDEX('Исходные кривые'!$B$12:$K$12,1,MATCH(G65,'Исходные кривые'!$B$12:$K$12,1)))*(INDEX('Исходные кривые'!$B$13:$K$13,1,MATCH(G65,'Исходные кривые'!$B$12:$K$12,1)+1)-INDEX('Исходные кривые'!$B$13:$K$13,1,MATCH(G65,'Исходные кривые'!$B$12:$K$12,1)))/(INDEX('Исходные кривые'!$B$12:$K$12,1,MATCH(G65,'Исходные кривые'!$B$12:$K$12,1)+1)-INDEX('Исходные кривые'!$B$12:$K$12,1,MATCH(G65,'Исходные кривые'!$B$12:$K$12,1)))))</x:f>
        <x:v>41.97808219178082</x:v>
      </x:c>
      <x:c r="K65" s="173" t="n">
        <x:f>IF(G65&lt;=MIN('Исходные кривые'!$B$12:$K$12),INDEX('Исходные кривые'!$B$14:$K$14,1,1),IF(G65&gt;=MAX('Исходные кривые'!$B$12:$K$12),INDEX('Исходные кривые'!$B$14:$K$14,1,COLUMNS('Исходные кривые'!$B$14:$K$14)),INDEX('Исходные кривые'!$B$14:$K$14,1,MATCH(G65,'Исходные кривые'!$B$12:$K$12,1))+(G65-INDEX('Исходные кривые'!$B$12:$K$12,1,MATCH(G65,'Исходные кривые'!$B$12:$K$12,1)))*(INDEX('Исходные кривые'!$B$14:$K$14,1,MATCH(G65,'Исходные кривые'!$B$12:$K$12,1)+1)-INDEX('Исходные кривые'!$B$14:$K$14,1,MATCH(G65,'Исходные кривые'!$B$12:$K$12,1)))/(INDEX('Исходные кривые'!$B$12:$K$12,1,MATCH(G65,'Исходные кривые'!$B$12:$K$12,1)+1)-INDEX('Исходные кривые'!$B$12:$K$12,1,MATCH(G65,'Исходные кривые'!$B$12:$K$12,1)))))</x:f>
        <x:v>-25.994520547945207</x:v>
      </x:c>
      <x:c r="L65" s="173" t="n">
        <x:f>IF(G65&lt;=MIN('Исходные кривые'!$B$17:$L$17),INDEX('Исходные кривые'!$B$18:$L$18,1,1),IF(G65&gt;=MAX('Исходные кривые'!$B$17:$L$17),INDEX('Исходные кривые'!$B$18:$L$18,1,COLUMNS('Исходные кривые'!$B$18:$L$18)),INDEX('Исходные кривые'!$B$18:$L$18,1,MATCH(G65,'Исходные кривые'!$B$17:$L$17,1))+(G65-INDEX('Исходные кривые'!$B$17:$L$17,1,MATCH(G65,'Исходные кривые'!$B$17:$L$17,1)))*(INDEX('Исходные кривые'!$B$18:$L$18,1,MATCH(G65,'Исходные кривые'!$B$17:$L$17,1)+1)-INDEX('Исходные кривые'!$B$18:$L$18,1,MATCH(G65,'Исходные кривые'!$B$17:$L$17,1)))/(INDEX('Исходные кривые'!$B$17:$L$17,1,MATCH(G65,'Исходные кривые'!$B$17:$L$17,1)+1)-INDEX('Исходные кривые'!$B$17:$L$17,1,MATCH(G65,'Исходные кривые'!$B$17:$L$17,1)))))</x:f>
        <x:v>5.4</x:v>
      </x:c>
      <x:c r="M65" s="173" t="n">
        <x:f>IF(G65&lt;=MIN('Исходные кривые'!$B$17:$L$17),INDEX('Исходные кривые'!$B$19:$L$19,1,1),IF(G65&gt;=MAX('Исходные кривые'!$B$17:$L$17),INDEX('Исходные кривые'!$B$19:$L$19,1,COLUMNS('Исходные кривые'!$B$19:$L$19)),INDEX('Исходные кривые'!$B$19:$L$19,1,MATCH(G65,'Исходные кривые'!$B$17:$L$17,1))+(G65-INDEX('Исходные кривые'!$B$17:$L$17,1,MATCH(G65,'Исходные кривые'!$B$17:$L$17,1)))*(INDEX('Исходные кривые'!$B$19:$L$19,1,MATCH(G65,'Исходные кривые'!$B$17:$L$17,1)+1)-INDEX('Исходные кривые'!$B$19:$L$19,1,MATCH(G65,'Исходные кривые'!$B$17:$L$17,1)))/(INDEX('Исходные кривые'!$B$17:$L$17,1,MATCH(G65,'Исходные кривые'!$B$17:$L$17,1)+1)-INDEX('Исходные кривые'!$B$17:$L$17,1,MATCH(G65,'Исходные кривые'!$B$17:$L$17,1)))))</x:f>
        <x:v>-1.9</x:v>
      </x:c>
    </x:row>
    <x:row r="66">
      <x:c r="A66" s="128" t="str">
        <x:v>Своп 3</x:v>
      </x:c>
      <x:c r="B66" s="129" t="n">
        <x:v>47300</x:v>
      </x:c>
      <x:c r="C66" s="129" t="n">
        <x:v>49126</x:v>
      </x:c>
      <x:c r="D66" s="128" t="n">
        <x:v>17</x:v>
      </x:c>
      <x:c r="E66" s="129" t="n">
        <x:v>48853</x:v>
      </x:c>
      <x:c r="F66" s="172" t="n">
        <x:f>E66-'Настройки'!$B$4</x:f>
        <x:v>2650</x:v>
      </x:c>
      <x:c r="G66" s="173" t="n">
        <x:f>F66/'Настройки'!$B$5</x:f>
        <x:v>7.260273972602739</x:v>
      </x:c>
      <x:c r="H66" s="173" t="n">
        <x:f>IF(G66&lt;=MIN('Исходные кривые'!$B$4:$L$4),INDEX('Исходные кривые'!$B$5:$L$5,1,1),IF(G66&gt;=MAX('Исходные кривые'!$B$4:$L$4),INDEX('Исходные кривые'!$B$5:$L$5,1,COLUMNS('Исходные кривые'!$B$5:$L$5)),INDEX('Исходные кривые'!$B$5:$L$5,1,MATCH(G66,'Исходные кривые'!$B$4:$L$4,1))+(G66-INDEX('Исходные кривые'!$B$4:$L$4,1,MATCH(G66,'Исходные кривые'!$B$4:$L$4,1)))*(INDEX('Исходные кривые'!$B$5:$L$5,1,MATCH(G66,'Исходные кривые'!$B$4:$L$4,1)+1)-INDEX('Исходные кривые'!$B$5:$L$5,1,MATCH(G66,'Исходные кривые'!$B$4:$L$4,1)))/(INDEX('Исходные кривые'!$B$4:$L$4,1,MATCH(G66,'Исходные кривые'!$B$4:$L$4,1)+1)-INDEX('Исходные кривые'!$B$4:$L$4,1,MATCH(G66,'Исходные кривые'!$B$4:$L$4,1)))))</x:f>
        <x:v>16.014703196347032</x:v>
      </x:c>
      <x:c r="I66" s="173" t="n">
        <x:f>IF(G66&lt;=MIN('Исходные кривые'!$B$8:$N$8),INDEX('Исходные кривые'!$B$9:$N$9,1,1),IF(G66&gt;=MAX('Исходные кривые'!$B$8:$N$8),INDEX('Исходные кривые'!$B$9:$N$9,1,COLUMNS('Исходные кривые'!$B$9:$N$9)),INDEX('Исходные кривые'!$B$9:$N$9,1,MATCH(G66,'Исходные кривые'!$B$8:$N$8,1))+(G66-INDEX('Исходные кривые'!$B$8:$N$8,1,MATCH(G66,'Исходные кривые'!$B$8:$N$8,1)))*(INDEX('Исходные кривые'!$B$9:$N$9,1,MATCH(G66,'Исходные кривые'!$B$8:$N$8,1)+1)-INDEX('Исходные кривые'!$B$9:$N$9,1,MATCH(G66,'Исходные кривые'!$B$8:$N$8,1)))/(INDEX('Исходные кривые'!$B$8:$N$8,1,MATCH(G66,'Исходные кривые'!$B$8:$N$8,1)+1)-INDEX('Исходные кривые'!$B$8:$N$8,1,MATCH(G66,'Исходные кривые'!$B$8:$N$8,1)))))</x:f>
        <x:v>18.014703196347032</x:v>
      </x:c>
      <x:c r="J66" s="173" t="n">
        <x:f>IF(G66&lt;=MIN('Исходные кривые'!$B$12:$K$12),INDEX('Исходные кривые'!$B$13:$K$13,1,1),IF(G66&gt;=MAX('Исходные кривые'!$B$12:$K$12),INDEX('Исходные кривые'!$B$13:$K$13,1,COLUMNS('Исходные кривые'!$B$13:$K$13)),INDEX('Исходные кривые'!$B$13:$K$13,1,MATCH(G66,'Исходные кривые'!$B$12:$K$12,1))+(G66-INDEX('Исходные кривые'!$B$12:$K$12,1,MATCH(G66,'Исходные кривые'!$B$12:$K$12,1)))*(INDEX('Исходные кривые'!$B$13:$K$13,1,MATCH(G66,'Исходные кривые'!$B$12:$K$12,1)+1)-INDEX('Исходные кривые'!$B$13:$K$13,1,MATCH(G66,'Исходные кривые'!$B$12:$K$12,1)))/(INDEX('Исходные кривые'!$B$12:$K$12,1,MATCH(G66,'Исходные кривые'!$B$12:$K$12,1)+1)-INDEX('Исходные кривые'!$B$12:$K$12,1,MATCH(G66,'Исходные кривые'!$B$12:$K$12,1)))))</x:f>
        <x:v>41.305936073059364</x:v>
      </x:c>
      <x:c r="K66" s="173" t="n">
        <x:f>IF(G66&lt;=MIN('Исходные кривые'!$B$12:$K$12),INDEX('Исходные кривые'!$B$14:$K$14,1,1),IF(G66&gt;=MAX('Исходные кривые'!$B$12:$K$12),INDEX('Исходные кривые'!$B$14:$K$14,1,COLUMNS('Исходные кривые'!$B$14:$K$14)),INDEX('Исходные кривые'!$B$14:$K$14,1,MATCH(G66,'Исходные кривые'!$B$12:$K$12,1))+(G66-INDEX('Исходные кривые'!$B$12:$K$12,1,MATCH(G66,'Исходные кривые'!$B$12:$K$12,1)))*(INDEX('Исходные кривые'!$B$14:$K$14,1,MATCH(G66,'Исходные кривые'!$B$12:$K$12,1)+1)-INDEX('Исходные кривые'!$B$14:$K$14,1,MATCH(G66,'Исходные кривые'!$B$12:$K$12,1)))/(INDEX('Исходные кривые'!$B$12:$K$12,1,MATCH(G66,'Исходные кривые'!$B$12:$K$12,1)+1)-INDEX('Исходные кривые'!$B$12:$K$12,1,MATCH(G66,'Исходные кривые'!$B$12:$K$12,1)))))</x:f>
        <x:v>-25.82648401826484</x:v>
      </x:c>
      <x:c r="L66" s="173" t="n">
        <x:f>IF(G66&lt;=MIN('Исходные кривые'!$B$17:$L$17),INDEX('Исходные кривые'!$B$18:$L$18,1,1),IF(G66&gt;=MAX('Исходные кривые'!$B$17:$L$17),INDEX('Исходные кривые'!$B$18:$L$18,1,COLUMNS('Исходные кривые'!$B$18:$L$18)),INDEX('Исходные кривые'!$B$18:$L$18,1,MATCH(G66,'Исходные кривые'!$B$17:$L$17,1))+(G66-INDEX('Исходные кривые'!$B$17:$L$17,1,MATCH(G66,'Исходные кривые'!$B$17:$L$17,1)))*(INDEX('Исходные кривые'!$B$18:$L$18,1,MATCH(G66,'Исходные кривые'!$B$17:$L$17,1)+1)-INDEX('Исходные кривые'!$B$18:$L$18,1,MATCH(G66,'Исходные кривые'!$B$17:$L$17,1)))/(INDEX('Исходные кривые'!$B$17:$L$17,1,MATCH(G66,'Исходные кривые'!$B$17:$L$17,1)+1)-INDEX('Исходные кривые'!$B$17:$L$17,1,MATCH(G66,'Исходные кривые'!$B$17:$L$17,1)))))</x:f>
        <x:v>5.4</x:v>
      </x:c>
      <x:c r="M66" s="173" t="n">
        <x:f>IF(G66&lt;=MIN('Исходные кривые'!$B$17:$L$17),INDEX('Исходные кривые'!$B$19:$L$19,1,1),IF(G66&gt;=MAX('Исходные кривые'!$B$17:$L$17),INDEX('Исходные кривые'!$B$19:$L$19,1,COLUMNS('Исходные кривые'!$B$19:$L$19)),INDEX('Исходные кривые'!$B$19:$L$19,1,MATCH(G66,'Исходные кривые'!$B$17:$L$17,1))+(G66-INDEX('Исходные кривые'!$B$17:$L$17,1,MATCH(G66,'Исходные кривые'!$B$17:$L$17,1)))*(INDEX('Исходные кривые'!$B$19:$L$19,1,MATCH(G66,'Исходные кривые'!$B$17:$L$17,1)+1)-INDEX('Исходные кривые'!$B$19:$L$19,1,MATCH(G66,'Исходные кривые'!$B$17:$L$17,1)))/(INDEX('Исходные кривые'!$B$17:$L$17,1,MATCH(G66,'Исходные кривые'!$B$17:$L$17,1)+1)-INDEX('Исходные кривые'!$B$17:$L$17,1,MATCH(G66,'Исходные кривые'!$B$17:$L$17,1)))))</x:f>
        <x:v>-1.9</x:v>
      </x:c>
    </x:row>
    <x:row r="67">
      <x:c r="A67" s="128" t="str">
        <x:v>Своп 3</x:v>
      </x:c>
      <x:c r="B67" s="129" t="n">
        <x:v>47300</x:v>
      </x:c>
      <x:c r="C67" s="129" t="n">
        <x:v>49126</x:v>
      </x:c>
      <x:c r="D67" s="128" t="n">
        <x:v>18</x:v>
      </x:c>
      <x:c r="E67" s="129" t="n">
        <x:v>48945</x:v>
      </x:c>
      <x:c r="F67" s="172" t="n">
        <x:f>E67-'Настройки'!$B$4</x:f>
        <x:v>2742</x:v>
      </x:c>
      <x:c r="G67" s="173" t="n">
        <x:f>F67/'Настройки'!$B$5</x:f>
        <x:v>7.512328767123288</x:v>
      </x:c>
      <x:c r="H67" s="173" t="n">
        <x:f>IF(G67&lt;=MIN('Исходные кривые'!$B$4:$L$4),INDEX('Исходные кривые'!$B$5:$L$5,1,1),IF(G67&gt;=MAX('Исходные кривые'!$B$4:$L$4),INDEX('Исходные кривые'!$B$5:$L$5,1,COLUMNS('Исходные кривые'!$B$5:$L$5)),INDEX('Исходные кривые'!$B$5:$L$5,1,MATCH(G67,'Исходные кривые'!$B$4:$L$4,1))+(G67-INDEX('Исходные кривые'!$B$4:$L$4,1,MATCH(G67,'Исходные кривые'!$B$4:$L$4,1)))*(INDEX('Исходные кривые'!$B$5:$L$5,1,MATCH(G67,'Исходные кривые'!$B$4:$L$4,1)+1)-INDEX('Исходные кривые'!$B$5:$L$5,1,MATCH(G67,'Исходные кривые'!$B$4:$L$4,1)))/(INDEX('Исходные кривые'!$B$4:$L$4,1,MATCH(G67,'Исходные кривые'!$B$4:$L$4,1)+1)-INDEX('Исходные кривые'!$B$4:$L$4,1,MATCH(G67,'Исходные кривые'!$B$4:$L$4,1)))))</x:f>
        <x:v>16.048310502283105</x:v>
      </x:c>
      <x:c r="I67" s="173" t="n">
        <x:f>IF(G67&lt;=MIN('Исходные кривые'!$B$8:$N$8),INDEX('Исходные кривые'!$B$9:$N$9,1,1),IF(G67&gt;=MAX('Исходные кривые'!$B$8:$N$8),INDEX('Исходные кривые'!$B$9:$N$9,1,COLUMNS('Исходные кривые'!$B$9:$N$9)),INDEX('Исходные кривые'!$B$9:$N$9,1,MATCH(G67,'Исходные кривые'!$B$8:$N$8,1))+(G67-INDEX('Исходные кривые'!$B$8:$N$8,1,MATCH(G67,'Исходные кривые'!$B$8:$N$8,1)))*(INDEX('Исходные кривые'!$B$9:$N$9,1,MATCH(G67,'Исходные кривые'!$B$8:$N$8,1)+1)-INDEX('Исходные кривые'!$B$9:$N$9,1,MATCH(G67,'Исходные кривые'!$B$8:$N$8,1)))/(INDEX('Исходные кривые'!$B$8:$N$8,1,MATCH(G67,'Исходные кривые'!$B$8:$N$8,1)+1)-INDEX('Исходные кривые'!$B$8:$N$8,1,MATCH(G67,'Исходные кривые'!$B$8:$N$8,1)))))</x:f>
        <x:v>18.048310502283105</x:v>
      </x:c>
      <x:c r="J67" s="173" t="n">
        <x:f>IF(G67&lt;=MIN('Исходные кривые'!$B$12:$K$12),INDEX('Исходные кривые'!$B$13:$K$13,1,1),IF(G67&gt;=MAX('Исходные кривые'!$B$12:$K$12),INDEX('Исходные кривые'!$B$13:$K$13,1,COLUMNS('Исходные кривые'!$B$13:$K$13)),INDEX('Исходные кривые'!$B$13:$K$13,1,MATCH(G67,'Исходные кривые'!$B$12:$K$12,1))+(G67-INDEX('Исходные кривые'!$B$12:$K$12,1,MATCH(G67,'Исходные кривые'!$B$12:$K$12,1)))*(INDEX('Исходные кривые'!$B$13:$K$13,1,MATCH(G67,'Исходные кривые'!$B$12:$K$12,1)+1)-INDEX('Исходные кривые'!$B$13:$K$13,1,MATCH(G67,'Исходные кривые'!$B$12:$K$12,1)))/(INDEX('Исходные кривые'!$B$12:$K$12,1,MATCH(G67,'Исходные кривые'!$B$12:$K$12,1)+1)-INDEX('Исходные кривые'!$B$12:$K$12,1,MATCH(G67,'Исходные кривые'!$B$12:$K$12,1)))))</x:f>
        <x:v>40.6337899543379</x:v>
      </x:c>
      <x:c r="K67" s="173" t="n">
        <x:f>IF(G67&lt;=MIN('Исходные кривые'!$B$12:$K$12),INDEX('Исходные кривые'!$B$14:$K$14,1,1),IF(G67&gt;=MAX('Исходные кривые'!$B$12:$K$12),INDEX('Исходные кривые'!$B$14:$K$14,1,COLUMNS('Исходные кривые'!$B$14:$K$14)),INDEX('Исходные кривые'!$B$14:$K$14,1,MATCH(G67,'Исходные кривые'!$B$12:$K$12,1))+(G67-INDEX('Исходные кривые'!$B$12:$K$12,1,MATCH(G67,'Исходные кривые'!$B$12:$K$12,1)))*(INDEX('Исходные кривые'!$B$14:$K$14,1,MATCH(G67,'Исходные кривые'!$B$12:$K$12,1)+1)-INDEX('Исходные кривые'!$B$14:$K$14,1,MATCH(G67,'Исходные кривые'!$B$12:$K$12,1)))/(INDEX('Исходные кривые'!$B$12:$K$12,1,MATCH(G67,'Исходные кривые'!$B$12:$K$12,1)+1)-INDEX('Исходные кривые'!$B$12:$K$12,1,MATCH(G67,'Исходные кривые'!$B$12:$K$12,1)))))</x:f>
        <x:v>-25.658447488584475</x:v>
      </x:c>
      <x:c r="L67" s="173" t="n">
        <x:f>IF(G67&lt;=MIN('Исходные кривые'!$B$17:$L$17),INDEX('Исходные кривые'!$B$18:$L$18,1,1),IF(G67&gt;=MAX('Исходные кривые'!$B$17:$L$17),INDEX('Исходные кривые'!$B$18:$L$18,1,COLUMNS('Исходные кривые'!$B$18:$L$18)),INDEX('Исходные кривые'!$B$18:$L$18,1,MATCH(G67,'Исходные кривые'!$B$17:$L$17,1))+(G67-INDEX('Исходные кривые'!$B$17:$L$17,1,MATCH(G67,'Исходные кривые'!$B$17:$L$17,1)))*(INDEX('Исходные кривые'!$B$18:$L$18,1,MATCH(G67,'Исходные кривые'!$B$17:$L$17,1)+1)-INDEX('Исходные кривые'!$B$18:$L$18,1,MATCH(G67,'Исходные кривые'!$B$17:$L$17,1)))/(INDEX('Исходные кривые'!$B$17:$L$17,1,MATCH(G67,'Исходные кривые'!$B$17:$L$17,1)+1)-INDEX('Исходные кривые'!$B$17:$L$17,1,MATCH(G67,'Исходные кривые'!$B$17:$L$17,1)))))</x:f>
        <x:v>5.4</x:v>
      </x:c>
      <x:c r="M67" s="173" t="n">
        <x:f>IF(G67&lt;=MIN('Исходные кривые'!$B$17:$L$17),INDEX('Исходные кривые'!$B$19:$L$19,1,1),IF(G67&gt;=MAX('Исходные кривые'!$B$17:$L$17),INDEX('Исходные кривые'!$B$19:$L$19,1,COLUMNS('Исходные кривые'!$B$19:$L$19)),INDEX('Исходные кривые'!$B$19:$L$19,1,MATCH(G67,'Исходные кривые'!$B$17:$L$17,1))+(G67-INDEX('Исходные кривые'!$B$17:$L$17,1,MATCH(G67,'Исходные кривые'!$B$17:$L$17,1)))*(INDEX('Исходные кривые'!$B$19:$L$19,1,MATCH(G67,'Исходные кривые'!$B$17:$L$17,1)+1)-INDEX('Исходные кривые'!$B$19:$L$19,1,MATCH(G67,'Исходные кривые'!$B$17:$L$17,1)))/(INDEX('Исходные кривые'!$B$17:$L$17,1,MATCH(G67,'Исходные кривые'!$B$17:$L$17,1)+1)-INDEX('Исходные кривые'!$B$17:$L$17,1,MATCH(G67,'Исходные кривые'!$B$17:$L$17,1)))))</x:f>
        <x:v>-1.9</x:v>
      </x:c>
    </x:row>
    <x:row r="68">
      <x:c r="A68" s="128" t="str">
        <x:v>Своп 3</x:v>
      </x:c>
      <x:c r="B68" s="129" t="n">
        <x:v>47300</x:v>
      </x:c>
      <x:c r="C68" s="129" t="n">
        <x:v>49126</x:v>
      </x:c>
      <x:c r="D68" s="128" t="n">
        <x:v>19</x:v>
      </x:c>
      <x:c r="E68" s="129" t="n">
        <x:v>49035</x:v>
      </x:c>
      <x:c r="F68" s="172" t="n">
        <x:f>E68-'Настройки'!$B$4</x:f>
        <x:v>2832</x:v>
      </x:c>
      <x:c r="G68" s="173" t="n">
        <x:f>F68/'Настройки'!$B$5</x:f>
        <x:v>7.758904109589041</x:v>
      </x:c>
      <x:c r="H68" s="173" t="n">
        <x:f>IF(G68&lt;=MIN('Исходные кривые'!$B$4:$L$4),INDEX('Исходные кривые'!$B$5:$L$5,1,1),IF(G68&gt;=MAX('Исходные кривые'!$B$4:$L$4),INDEX('Исходные кривые'!$B$5:$L$5,1,COLUMNS('Исходные кривые'!$B$5:$L$5)),INDEX('Исходные кривые'!$B$5:$L$5,1,MATCH(G68,'Исходные кривые'!$B$4:$L$4,1))+(G68-INDEX('Исходные кривые'!$B$4:$L$4,1,MATCH(G68,'Исходные кривые'!$B$4:$L$4,1)))*(INDEX('Исходные кривые'!$B$5:$L$5,1,MATCH(G68,'Исходные кривые'!$B$4:$L$4,1)+1)-INDEX('Исходные кривые'!$B$5:$L$5,1,MATCH(G68,'Исходные кривые'!$B$4:$L$4,1)))/(INDEX('Исходные кривые'!$B$4:$L$4,1,MATCH(G68,'Исходные кривые'!$B$4:$L$4,1)+1)-INDEX('Исходные кривые'!$B$4:$L$4,1,MATCH(G68,'Исходные кривые'!$B$4:$L$4,1)))))</x:f>
        <x:v>16.081187214611873</x:v>
      </x:c>
      <x:c r="I68" s="173" t="n">
        <x:f>IF(G68&lt;=MIN('Исходные кривые'!$B$8:$N$8),INDEX('Исходные кривые'!$B$9:$N$9,1,1),IF(G68&gt;=MAX('Исходные кривые'!$B$8:$N$8),INDEX('Исходные кривые'!$B$9:$N$9,1,COLUMNS('Исходные кривые'!$B$9:$N$9)),INDEX('Исходные кривые'!$B$9:$N$9,1,MATCH(G68,'Исходные кривые'!$B$8:$N$8,1))+(G68-INDEX('Исходные кривые'!$B$8:$N$8,1,MATCH(G68,'Исходные кривые'!$B$8:$N$8,1)))*(INDEX('Исходные кривые'!$B$9:$N$9,1,MATCH(G68,'Исходные кривые'!$B$8:$N$8,1)+1)-INDEX('Исходные кривые'!$B$9:$N$9,1,MATCH(G68,'Исходные кривые'!$B$8:$N$8,1)))/(INDEX('Исходные кривые'!$B$8:$N$8,1,MATCH(G68,'Исходные кривые'!$B$8:$N$8,1)+1)-INDEX('Исходные кривые'!$B$8:$N$8,1,MATCH(G68,'Исходные кривые'!$B$8:$N$8,1)))))</x:f>
        <x:v>18.081187214611873</x:v>
      </x:c>
      <x:c r="J68" s="173" t="n">
        <x:f>IF(G68&lt;=MIN('Исходные кривые'!$B$12:$K$12),INDEX('Исходные кривые'!$B$13:$K$13,1,1),IF(G68&gt;=MAX('Исходные кривые'!$B$12:$K$12),INDEX('Исходные кривые'!$B$13:$K$13,1,COLUMNS('Исходные кривые'!$B$13:$K$13)),INDEX('Исходные кривые'!$B$13:$K$13,1,MATCH(G68,'Исходные кривые'!$B$12:$K$12,1))+(G68-INDEX('Исходные кривые'!$B$12:$K$12,1,MATCH(G68,'Исходные кривые'!$B$12:$K$12,1)))*(INDEX('Исходные кривые'!$B$13:$K$13,1,MATCH(G68,'Исходные кривые'!$B$12:$K$12,1)+1)-INDEX('Исходные кривые'!$B$13:$K$13,1,MATCH(G68,'Исходные кривые'!$B$12:$K$12,1)))/(INDEX('Исходные кривые'!$B$12:$K$12,1,MATCH(G68,'Исходные кривые'!$B$12:$K$12,1)+1)-INDEX('Исходные кривые'!$B$12:$K$12,1,MATCH(G68,'Исходные кривые'!$B$12:$K$12,1)))))</x:f>
        <x:v>39.976255707762554</x:v>
      </x:c>
      <x:c r="K68" s="173" t="n">
        <x:f>IF(G68&lt;=MIN('Исходные кривые'!$B$12:$K$12),INDEX('Исходные кривые'!$B$14:$K$14,1,1),IF(G68&gt;=MAX('Исходные кривые'!$B$12:$K$12),INDEX('Исходные кривые'!$B$14:$K$14,1,COLUMNS('Исходные кривые'!$B$14:$K$14)),INDEX('Исходные кривые'!$B$14:$K$14,1,MATCH(G68,'Исходные кривые'!$B$12:$K$12,1))+(G68-INDEX('Исходные кривые'!$B$12:$K$12,1,MATCH(G68,'Исходные кривые'!$B$12:$K$12,1)))*(INDEX('Исходные кривые'!$B$14:$K$14,1,MATCH(G68,'Исходные кривые'!$B$12:$K$12,1)+1)-INDEX('Исходные кривые'!$B$14:$K$14,1,MATCH(G68,'Исходные кривые'!$B$12:$K$12,1)))/(INDEX('Исходные кривые'!$B$12:$K$12,1,MATCH(G68,'Исходные кривые'!$B$12:$K$12,1)+1)-INDEX('Исходные кривые'!$B$12:$K$12,1,MATCH(G68,'Исходные кривые'!$B$12:$K$12,1)))))</x:f>
        <x:v>-25.49406392694064</x:v>
      </x:c>
      <x:c r="L68" s="173" t="n">
        <x:f>IF(G68&lt;=MIN('Исходные кривые'!$B$17:$L$17),INDEX('Исходные кривые'!$B$18:$L$18,1,1),IF(G68&gt;=MAX('Исходные кривые'!$B$17:$L$17),INDEX('Исходные кривые'!$B$18:$L$18,1,COLUMNS('Исходные кривые'!$B$18:$L$18)),INDEX('Исходные кривые'!$B$18:$L$18,1,MATCH(G68,'Исходные кривые'!$B$17:$L$17,1))+(G68-INDEX('Исходные кривые'!$B$17:$L$17,1,MATCH(G68,'Исходные кривые'!$B$17:$L$17,1)))*(INDEX('Исходные кривые'!$B$18:$L$18,1,MATCH(G68,'Исходные кривые'!$B$17:$L$17,1)+1)-INDEX('Исходные кривые'!$B$18:$L$18,1,MATCH(G68,'Исходные кривые'!$B$17:$L$17,1)))/(INDEX('Исходные кривые'!$B$17:$L$17,1,MATCH(G68,'Исходные кривые'!$B$17:$L$17,1)+1)-INDEX('Исходные кривые'!$B$17:$L$17,1,MATCH(G68,'Исходные кривые'!$B$17:$L$17,1)))))</x:f>
        <x:v>5.4</x:v>
      </x:c>
      <x:c r="M68" s="173" t="n">
        <x:f>IF(G68&lt;=MIN('Исходные кривые'!$B$17:$L$17),INDEX('Исходные кривые'!$B$19:$L$19,1,1),IF(G68&gt;=MAX('Исходные кривые'!$B$17:$L$17),INDEX('Исходные кривые'!$B$19:$L$19,1,COLUMNS('Исходные кривые'!$B$19:$L$19)),INDEX('Исходные кривые'!$B$19:$L$19,1,MATCH(G68,'Исходные кривые'!$B$17:$L$17,1))+(G68-INDEX('Исходные кривые'!$B$17:$L$17,1,MATCH(G68,'Исходные кривые'!$B$17:$L$17,1)))*(INDEX('Исходные кривые'!$B$19:$L$19,1,MATCH(G68,'Исходные кривые'!$B$17:$L$17,1)+1)-INDEX('Исходные кривые'!$B$19:$L$19,1,MATCH(G68,'Исходные кривые'!$B$17:$L$17,1)))/(INDEX('Исходные кривые'!$B$17:$L$17,1,MATCH(G68,'Исходные кривые'!$B$17:$L$17,1)+1)-INDEX('Исходные кривые'!$B$17:$L$17,1,MATCH(G68,'Исходные кривые'!$B$17:$L$17,1)))))</x:f>
        <x:v>-1.9</x:v>
      </x:c>
    </x:row>
    <x:row r="69">
      <x:c r="A69" s="128" t="str">
        <x:v>Своп 3</x:v>
      </x:c>
      <x:c r="B69" s="129" t="n">
        <x:v>47300</x:v>
      </x:c>
      <x:c r="C69" s="129" t="n">
        <x:v>49126</x:v>
      </x:c>
      <x:c r="D69" s="128" t="n">
        <x:v>20</x:v>
      </x:c>
      <x:c r="E69" s="129" t="n">
        <x:v>49126</x:v>
      </x:c>
      <x:c r="F69" s="172" t="n">
        <x:f>E69-'Настройки'!$B$4</x:f>
        <x:v>2923</x:v>
      </x:c>
      <x:c r="G69" s="173" t="n">
        <x:f>F69/'Настройки'!$B$5</x:f>
        <x:v>8.008219178082191</x:v>
      </x:c>
      <x:c r="H69" s="173" t="n">
        <x:f>IF(G69&lt;=MIN('Исходные кривые'!$B$4:$L$4),INDEX('Исходные кривые'!$B$5:$L$5,1,1),IF(G69&gt;=MAX('Исходные кривые'!$B$4:$L$4),INDEX('Исходные кривые'!$B$5:$L$5,1,COLUMNS('Исходные кривые'!$B$5:$L$5)),INDEX('Исходные кривые'!$B$5:$L$5,1,MATCH(G69,'Исходные кривые'!$B$4:$L$4,1))+(G69-INDEX('Исходные кривые'!$B$4:$L$4,1,MATCH(G69,'Исходные кривые'!$B$4:$L$4,1)))*(INDEX('Исходные кривые'!$B$5:$L$5,1,MATCH(G69,'Исходные кривые'!$B$4:$L$4,1)+1)-INDEX('Исходные кривые'!$B$5:$L$5,1,MATCH(G69,'Исходные кривые'!$B$4:$L$4,1)))/(INDEX('Исходные кривые'!$B$4:$L$4,1,MATCH(G69,'Исходные кривые'!$B$4:$L$4,1)+1)-INDEX('Исходные кривые'!$B$4:$L$4,1,MATCH(G69,'Исходные кривые'!$B$4:$L$4,1)))))</x:f>
        <x:v>16.114429223744292</x:v>
      </x:c>
      <x:c r="I69" s="173" t="n">
        <x:f>IF(G69&lt;=MIN('Исходные кривые'!$B$8:$N$8),INDEX('Исходные кривые'!$B$9:$N$9,1,1),IF(G69&gt;=MAX('Исходные кривые'!$B$8:$N$8),INDEX('Исходные кривые'!$B$9:$N$9,1,COLUMNS('Исходные кривые'!$B$9:$N$9)),INDEX('Исходные кривые'!$B$9:$N$9,1,MATCH(G69,'Исходные кривые'!$B$8:$N$8,1))+(G69-INDEX('Исходные кривые'!$B$8:$N$8,1,MATCH(G69,'Исходные кривые'!$B$8:$N$8,1)))*(INDEX('Исходные кривые'!$B$9:$N$9,1,MATCH(G69,'Исходные кривые'!$B$8:$N$8,1)+1)-INDEX('Исходные кривые'!$B$9:$N$9,1,MATCH(G69,'Исходные кривые'!$B$8:$N$8,1)))/(INDEX('Исходные кривые'!$B$8:$N$8,1,MATCH(G69,'Исходные кривые'!$B$8:$N$8,1)+1)-INDEX('Исходные кривые'!$B$8:$N$8,1,MATCH(G69,'Исходные кривые'!$B$8:$N$8,1)))))</x:f>
        <x:v>18.114429223744292</x:v>
      </x:c>
      <x:c r="J69" s="173" t="n">
        <x:f>IF(G69&lt;=MIN('Исходные кривые'!$B$12:$K$12),INDEX('Исходные кривые'!$B$13:$K$13,1,1),IF(G69&gt;=MAX('Исходные кривые'!$B$12:$K$12),INDEX('Исходные кривые'!$B$13:$K$13,1,COLUMNS('Исходные кривые'!$B$13:$K$13)),INDEX('Исходные кривые'!$B$13:$K$13,1,MATCH(G69,'Исходные кривые'!$B$12:$K$12,1))+(G69-INDEX('Исходные кривые'!$B$12:$K$12,1,MATCH(G69,'Исходные кривые'!$B$12:$K$12,1)))*(INDEX('Исходные кривые'!$B$13:$K$13,1,MATCH(G69,'Исходные кривые'!$B$12:$K$12,1)+1)-INDEX('Исходные кривые'!$B$13:$K$13,1,MATCH(G69,'Исходные кривые'!$B$12:$K$12,1)))/(INDEX('Исходные кривые'!$B$12:$K$12,1,MATCH(G69,'Исходные кривые'!$B$12:$K$12,1)+1)-INDEX('Исходные кривые'!$B$12:$K$12,1,MATCH(G69,'Исходные кривые'!$B$12:$K$12,1)))))</x:f>
        <x:v>39.31141552511416</x:v>
      </x:c>
      <x:c r="K69" s="173" t="n">
        <x:f>IF(G69&lt;=MIN('Исходные кривые'!$B$12:$K$12),INDEX('Исходные кривые'!$B$14:$K$14,1,1),IF(G69&gt;=MAX('Исходные кривые'!$B$12:$K$12),INDEX('Исходные кривые'!$B$14:$K$14,1,COLUMNS('Исходные кривые'!$B$14:$K$14)),INDEX('Исходные кривые'!$B$14:$K$14,1,MATCH(G69,'Исходные кривые'!$B$12:$K$12,1))+(G69-INDEX('Исходные кривые'!$B$12:$K$12,1,MATCH(G69,'Исходные кривые'!$B$12:$K$12,1)))*(INDEX('Исходные кривые'!$B$14:$K$14,1,MATCH(G69,'Исходные кривые'!$B$12:$K$12,1)+1)-INDEX('Исходные кривые'!$B$14:$K$14,1,MATCH(G69,'Исходные кривые'!$B$12:$K$12,1)))/(INDEX('Исходные кривые'!$B$12:$K$12,1,MATCH(G69,'Исходные кривые'!$B$12:$K$12,1)+1)-INDEX('Исходные кривые'!$B$12:$K$12,1,MATCH(G69,'Исходные кривые'!$B$12:$K$12,1)))))</x:f>
        <x:v>-25.32785388127854</x:v>
      </x:c>
      <x:c r="L69" s="173" t="n">
        <x:f>IF(G69&lt;=MIN('Исходные кривые'!$B$17:$L$17),INDEX('Исходные кривые'!$B$18:$L$18,1,1),IF(G69&gt;=MAX('Исходные кривые'!$B$17:$L$17),INDEX('Исходные кривые'!$B$18:$L$18,1,COLUMNS('Исходные кривые'!$B$18:$L$18)),INDEX('Исходные кривые'!$B$18:$L$18,1,MATCH(G69,'Исходные кривые'!$B$17:$L$17,1))+(G69-INDEX('Исходные кривые'!$B$17:$L$17,1,MATCH(G69,'Исходные кривые'!$B$17:$L$17,1)))*(INDEX('Исходные кривые'!$B$18:$L$18,1,MATCH(G69,'Исходные кривые'!$B$17:$L$17,1)+1)-INDEX('Исходные кривые'!$B$18:$L$18,1,MATCH(G69,'Исходные кривые'!$B$17:$L$17,1)))/(INDEX('Исходные кривые'!$B$17:$L$17,1,MATCH(G69,'Исходные кривые'!$B$17:$L$17,1)+1)-INDEX('Исходные кривые'!$B$17:$L$17,1,MATCH(G69,'Исходные кривые'!$B$17:$L$17,1)))))</x:f>
        <x:v>5.4</x:v>
      </x:c>
      <x:c r="M69" s="173" t="n">
        <x:f>IF(G69&lt;=MIN('Исходные кривые'!$B$17:$L$17),INDEX('Исходные кривые'!$B$19:$L$19,1,1),IF(G69&gt;=MAX('Исходные кривые'!$B$17:$L$17),INDEX('Исходные кривые'!$B$19:$L$19,1,COLUMNS('Исходные кривые'!$B$19:$L$19)),INDEX('Исходные кривые'!$B$19:$L$19,1,MATCH(G69,'Исходные кривые'!$B$17:$L$17,1))+(G69-INDEX('Исходные кривые'!$B$17:$L$17,1,MATCH(G69,'Исходные кривые'!$B$17:$L$17,1)))*(INDEX('Исходные кривые'!$B$19:$L$19,1,MATCH(G69,'Исходные кривые'!$B$17:$L$17,1)+1)-INDEX('Исходные кривые'!$B$19:$L$19,1,MATCH(G69,'Исходные кривые'!$B$17:$L$17,1)))/(INDEX('Исходные кривые'!$B$17:$L$17,1,MATCH(G69,'Исходные кривые'!$B$17:$L$17,1)+1)-INDEX('Исходные кривые'!$B$17:$L$17,1,MATCH(G69,'Исходные кривые'!$B$17:$L$17,1)))))</x:f>
        <x:v>-1.9</x:v>
      </x:c>
    </x:row>
    <x:row r="70">
      <x:c r="A70" s="143" t="str">
        <x:v>Своп 4</x:v>
      </x:c>
      <x:c r="B70" s="144" t="n">
        <x:v>47665</x:v>
      </x:c>
      <x:c r="C70" s="144" t="n">
        <x:v>49491</x:v>
      </x:c>
      <x:c r="D70" s="143" t="n">
        <x:v>1</x:v>
      </x:c>
      <x:c r="E70" s="144" t="n">
        <x:v>47757</x:v>
      </x:c>
      <x:c r="F70" s="174" t="n">
        <x:f>E70-'Настройки'!$B$4</x:f>
        <x:v>1554</x:v>
      </x:c>
      <x:c r="G70" s="175" t="n">
        <x:f>F70/'Настройки'!$B$5</x:f>
        <x:v>4.257534246575342</x:v>
      </x:c>
      <x:c r="H70" s="175" t="n">
        <x:f>IF(G70&lt;=MIN('Исходные кривые'!$B$4:$L$4),INDEX('Исходные кривые'!$B$5:$L$5,1,1),IF(G70&gt;=MAX('Исходные кривые'!$B$4:$L$4),INDEX('Исходные кривые'!$B$5:$L$5,1,COLUMNS('Исходные кривые'!$B$5:$L$5)),INDEX('Исходные кривые'!$B$5:$L$5,1,MATCH(G70,'Исходные кривые'!$B$4:$L$4,1))+(G70-INDEX('Исходные кривые'!$B$4:$L$4,1,MATCH(G70,'Исходные кривые'!$B$4:$L$4,1)))*(INDEX('Исходные кривые'!$B$5:$L$5,1,MATCH(G70,'Исходные кривые'!$B$4:$L$4,1)+1)-INDEX('Исходные кривые'!$B$5:$L$5,1,MATCH(G70,'Исходные кривые'!$B$4:$L$4,1)))/(INDEX('Исходные кривые'!$B$4:$L$4,1,MATCH(G70,'Исходные кривые'!$B$4:$L$4,1)+1)-INDEX('Исходные кривые'!$B$4:$L$4,1,MATCH(G70,'Исходные кривые'!$B$4:$L$4,1)))))</x:f>
        <x:v>15.067328767123287</x:v>
      </x:c>
      <x:c r="I70" s="175" t="n">
        <x:f>IF(G70&lt;=MIN('Исходные кривые'!$B$8:$N$8),INDEX('Исходные кривые'!$B$9:$N$9,1,1),IF(G70&gt;=MAX('Исходные кривые'!$B$8:$N$8),INDEX('Исходные кривые'!$B$9:$N$9,1,COLUMNS('Исходные кривые'!$B$9:$N$9)),INDEX('Исходные кривые'!$B$9:$N$9,1,MATCH(G70,'Исходные кривые'!$B$8:$N$8,1))+(G70-INDEX('Исходные кривые'!$B$8:$N$8,1,MATCH(G70,'Исходные кривые'!$B$8:$N$8,1)))*(INDEX('Исходные кривые'!$B$9:$N$9,1,MATCH(G70,'Исходные кривые'!$B$8:$N$8,1)+1)-INDEX('Исходные кривые'!$B$9:$N$9,1,MATCH(G70,'Исходные кривые'!$B$8:$N$8,1)))/(INDEX('Исходные кривые'!$B$8:$N$8,1,MATCH(G70,'Исходные кривые'!$B$8:$N$8,1)+1)-INDEX('Исходные кривые'!$B$8:$N$8,1,MATCH(G70,'Исходные кривые'!$B$8:$N$8,1)))))</x:f>
        <x:v>17.06732876712329</x:v>
      </x:c>
      <x:c r="J70" s="175" t="n">
        <x:f>IF(G70&lt;=MIN('Исходные кривые'!$B$12:$K$12),INDEX('Исходные кривые'!$B$13:$K$13,1,1),IF(G70&gt;=MAX('Исходные кривые'!$B$12:$K$12),INDEX('Исходные кривые'!$B$13:$K$13,1,COLUMNS('Исходные кривые'!$B$13:$K$13)),INDEX('Исходные кривые'!$B$13:$K$13,1,MATCH(G70,'Исходные кривые'!$B$12:$K$12,1))+(G70-INDEX('Исходные кривые'!$B$12:$K$12,1,MATCH(G70,'Исходные кривые'!$B$12:$K$12,1)))*(INDEX('Исходные кривые'!$B$13:$K$13,1,MATCH(G70,'Исходные кривые'!$B$12:$K$12,1)+1)-INDEX('Исходные кривые'!$B$13:$K$13,1,MATCH(G70,'Исходные кривые'!$B$12:$K$12,1)))/(INDEX('Исходные кривые'!$B$12:$K$12,1,MATCH(G70,'Исходные кривые'!$B$12:$K$12,1)+1)-INDEX('Исходные кривые'!$B$12:$K$12,1,MATCH(G70,'Исходные кривые'!$B$12:$K$12,1)))))</x:f>
        <x:v>50.227397260273975</x:v>
      </x:c>
      <x:c r="K70" s="175" t="n">
        <x:f>IF(G70&lt;=MIN('Исходные кривые'!$B$12:$K$12),INDEX('Исходные кривые'!$B$14:$K$14,1,1),IF(G70&gt;=MAX('Исходные кривые'!$B$12:$K$12),INDEX('Исходные кривые'!$B$14:$K$14,1,COLUMNS('Исходные кривые'!$B$14:$K$14)),INDEX('Исходные кривые'!$B$14:$K$14,1,MATCH(G70,'Исходные кривые'!$B$12:$K$12,1))+(G70-INDEX('Исходные кривые'!$B$12:$K$12,1,MATCH(G70,'Исходные кривые'!$B$12:$K$12,1)))*(INDEX('Исходные кривые'!$B$14:$K$14,1,MATCH(G70,'Исходные кривые'!$B$12:$K$12,1)+1)-INDEX('Исходные кривые'!$B$14:$K$14,1,MATCH(G70,'Исходные кривые'!$B$12:$K$12,1)))/(INDEX('Исходные кривые'!$B$12:$K$12,1,MATCH(G70,'Исходные кривые'!$B$12:$K$12,1)+1)-INDEX('Исходные кривые'!$B$12:$K$12,1,MATCH(G70,'Исходные кривые'!$B$12:$K$12,1)))))</x:f>
        <x:v>-27.37123287671233</x:v>
      </x:c>
      <x:c r="L70" s="175" t="n">
        <x:f>IF(G70&lt;=MIN('Исходные кривые'!$B$17:$L$17),INDEX('Исходные кривые'!$B$18:$L$18,1,1),IF(G70&gt;=MAX('Исходные кривые'!$B$17:$L$17),INDEX('Исходные кривые'!$B$18:$L$18,1,COLUMNS('Исходные кривые'!$B$18:$L$18)),INDEX('Исходные кривые'!$B$18:$L$18,1,MATCH(G70,'Исходные кривые'!$B$17:$L$17,1))+(G70-INDEX('Исходные кривые'!$B$17:$L$17,1,MATCH(G70,'Исходные кривые'!$B$17:$L$17,1)))*(INDEX('Исходные кривые'!$B$18:$L$18,1,MATCH(G70,'Исходные кривые'!$B$17:$L$17,1)+1)-INDEX('Исходные кривые'!$B$18:$L$18,1,MATCH(G70,'Исходные кривые'!$B$17:$L$17,1)))/(INDEX('Исходные кривые'!$B$17:$L$17,1,MATCH(G70,'Исходные кривые'!$B$17:$L$17,1)+1)-INDEX('Исходные кривые'!$B$17:$L$17,1,MATCH(G70,'Исходные кривые'!$B$17:$L$17,1)))))</x:f>
        <x:v>5.956849315068494</x:v>
      </x:c>
      <x:c r="M70" s="175" t="n">
        <x:f>IF(G70&lt;=MIN('Исходные кривые'!$B$17:$L$17),INDEX('Исходные кривые'!$B$19:$L$19,1,1),IF(G70&gt;=MAX('Исходные кривые'!$B$17:$L$17),INDEX('Исходные кривые'!$B$19:$L$19,1,COLUMNS('Исходные кривые'!$B$19:$L$19)),INDEX('Исходные кривые'!$B$19:$L$19,1,MATCH(G70,'Исходные кривые'!$B$17:$L$17,1))+(G70-INDEX('Исходные кривые'!$B$17:$L$17,1,MATCH(G70,'Исходные кривые'!$B$17:$L$17,1)))*(INDEX('Исходные кривые'!$B$19:$L$19,1,MATCH(G70,'Исходные кривые'!$B$17:$L$17,1)+1)-INDEX('Исходные кривые'!$B$19:$L$19,1,MATCH(G70,'Исходные кривые'!$B$17:$L$17,1)))/(INDEX('Исходные кривые'!$B$17:$L$17,1,MATCH(G70,'Исходные кривые'!$B$17:$L$17,1)+1)-INDEX('Исходные кривые'!$B$17:$L$17,1,MATCH(G70,'Исходные кривые'!$B$17:$L$17,1)))))</x:f>
        <x:v>-2.605342465753425</x:v>
      </x:c>
    </x:row>
    <x:row r="71">
      <x:c r="A71" s="131" t="str">
        <x:v>Своп 4</x:v>
      </x:c>
      <x:c r="B71" s="132" t="n">
        <x:v>47665</x:v>
      </x:c>
      <x:c r="C71" s="132" t="n">
        <x:v>49491</x:v>
      </x:c>
      <x:c r="D71" s="131" t="n">
        <x:v>2</x:v>
      </x:c>
      <x:c r="E71" s="132" t="n">
        <x:v>47849</x:v>
      </x:c>
      <x:c r="F71" s="176" t="n">
        <x:f>E71-'Настройки'!$B$4</x:f>
        <x:v>1646</x:v>
      </x:c>
      <x:c r="G71" s="177" t="n">
        <x:f>F71/'Настройки'!$B$5</x:f>
        <x:v>4.50958904109589</x:v>
      </x:c>
      <x:c r="H71" s="177" t="n">
        <x:f>IF(G71&lt;=MIN('Исходные кривые'!$B$4:$L$4),INDEX('Исходные кривые'!$B$5:$L$5,1,1),IF(G71&gt;=MAX('Исходные кривые'!$B$4:$L$4),INDEX('Исходные кривые'!$B$5:$L$5,1,COLUMNS('Исходные кривые'!$B$5:$L$5)),INDEX('Исходные кривые'!$B$5:$L$5,1,MATCH(G71,'Исходные кривые'!$B$4:$L$4,1))+(G71-INDEX('Исходные кривые'!$B$4:$L$4,1,MATCH(G71,'Исходные кривые'!$B$4:$L$4,1)))*(INDEX('Исходные кривые'!$B$5:$L$5,1,MATCH(G71,'Исходные кривые'!$B$4:$L$4,1)+1)-INDEX('Исходные кривые'!$B$5:$L$5,1,MATCH(G71,'Исходные кривые'!$B$4:$L$4,1)))/(INDEX('Исходные кривые'!$B$4:$L$4,1,MATCH(G71,'Исходные кривые'!$B$4:$L$4,1)+1)-INDEX('Исходные кривые'!$B$4:$L$4,1,MATCH(G71,'Исходные кривые'!$B$4:$L$4,1)))))</x:f>
        <x:v>15.187054794520549</x:v>
      </x:c>
      <x:c r="I71" s="177" t="n">
        <x:f>IF(G71&lt;=MIN('Исходные кривые'!$B$8:$N$8),INDEX('Исходные кривые'!$B$9:$N$9,1,1),IF(G71&gt;=MAX('Исходные кривые'!$B$8:$N$8),INDEX('Исходные кривые'!$B$9:$N$9,1,COLUMNS('Исходные кривые'!$B$9:$N$9)),INDEX('Исходные кривые'!$B$9:$N$9,1,MATCH(G71,'Исходные кривые'!$B$8:$N$8,1))+(G71-INDEX('Исходные кривые'!$B$8:$N$8,1,MATCH(G71,'Исходные кривые'!$B$8:$N$8,1)))*(INDEX('Исходные кривые'!$B$9:$N$9,1,MATCH(G71,'Исходные кривые'!$B$8:$N$8,1)+1)-INDEX('Исходные кривые'!$B$9:$N$9,1,MATCH(G71,'Исходные кривые'!$B$8:$N$8,1)))/(INDEX('Исходные кривые'!$B$8:$N$8,1,MATCH(G71,'Исходные кривые'!$B$8:$N$8,1)+1)-INDEX('Исходные кривые'!$B$8:$N$8,1,MATCH(G71,'Исходные кривые'!$B$8:$N$8,1)))))</x:f>
        <x:v>17.18705479452055</x:v>
      </x:c>
      <x:c r="J71" s="177" t="n">
        <x:f>IF(G71&lt;=MIN('Исходные кривые'!$B$12:$K$12),INDEX('Исходные кривые'!$B$13:$K$13,1,1),IF(G71&gt;=MAX('Исходные кривые'!$B$12:$K$12),INDEX('Исходные кривые'!$B$13:$K$13,1,COLUMNS('Исходные кривые'!$B$13:$K$13)),INDEX('Исходные кривые'!$B$13:$K$13,1,MATCH(G71,'Исходные кривые'!$B$12:$K$12,1))+(G71-INDEX('Исходные кривые'!$B$12:$K$12,1,MATCH(G71,'Исходные кривые'!$B$12:$K$12,1)))*(INDEX('Исходные кривые'!$B$13:$K$13,1,MATCH(G71,'Исходные кривые'!$B$12:$K$12,1)+1)-INDEX('Исходные кривые'!$B$13:$K$13,1,MATCH(G71,'Исходные кривые'!$B$12:$K$12,1)))/(INDEX('Исходные кривые'!$B$12:$K$12,1,MATCH(G71,'Исходные кривые'!$B$12:$K$12,1)+1)-INDEX('Исходные кривые'!$B$12:$K$12,1,MATCH(G71,'Исходные кривые'!$B$12:$K$12,1)))))</x:f>
        <x:v>49.47123287671233</x:v>
      </x:c>
      <x:c r="K71" s="177" t="n">
        <x:f>IF(G71&lt;=MIN('Исходные кривые'!$B$12:$K$12),INDEX('Исходные кривые'!$B$14:$K$14,1,1),IF(G71&gt;=MAX('Исходные кривые'!$B$12:$K$12),INDEX('Исходные кривые'!$B$14:$K$14,1,COLUMNS('Исходные кривые'!$B$14:$K$14)),INDEX('Исходные кривые'!$B$14:$K$14,1,MATCH(G71,'Исходные кривые'!$B$12:$K$12,1))+(G71-INDEX('Исходные кривые'!$B$12:$K$12,1,MATCH(G71,'Исходные кривые'!$B$12:$K$12,1)))*(INDEX('Исходные кривые'!$B$14:$K$14,1,MATCH(G71,'Исходные кривые'!$B$12:$K$12,1)+1)-INDEX('Исходные кривые'!$B$14:$K$14,1,MATCH(G71,'Исходные кривые'!$B$12:$K$12,1)))/(INDEX('Исходные кривые'!$B$12:$K$12,1,MATCH(G71,'Исходные кривые'!$B$12:$K$12,1)+1)-INDEX('Исходные кривые'!$B$12:$K$12,1,MATCH(G71,'Исходные кривые'!$B$12:$K$12,1)))))</x:f>
        <x:v>-27.245205479452054</x:v>
      </x:c>
      <x:c r="L71" s="177" t="n">
        <x:f>IF(G71&lt;=MIN('Исходные кривые'!$B$17:$L$17),INDEX('Исходные кривые'!$B$18:$L$18,1,1),IF(G71&gt;=MAX('Исходные кривые'!$B$17:$L$17),INDEX('Исходные кривые'!$B$18:$L$18,1,COLUMNS('Исходные кривые'!$B$18:$L$18)),INDEX('Исходные кривые'!$B$18:$L$18,1,MATCH(G71,'Исходные кривые'!$B$17:$L$17,1))+(G71-INDEX('Исходные кривые'!$B$17:$L$17,1,MATCH(G71,'Исходные кривые'!$B$17:$L$17,1)))*(INDEX('Исходные кривые'!$B$18:$L$18,1,MATCH(G71,'Исходные кривые'!$B$17:$L$17,1)+1)-INDEX('Исходные кривые'!$B$18:$L$18,1,MATCH(G71,'Исходные кривые'!$B$17:$L$17,1)))/(INDEX('Исходные кривые'!$B$17:$L$17,1,MATCH(G71,'Исходные кривые'!$B$17:$L$17,1)+1)-INDEX('Исходные кривые'!$B$17:$L$17,1,MATCH(G71,'Исходные кривые'!$B$17:$L$17,1)))))</x:f>
        <x:v>5.767808219178082</x:v>
      </x:c>
      <x:c r="M71" s="177" t="n">
        <x:f>IF(G71&lt;=MIN('Исходные кривые'!$B$17:$L$17),INDEX('Исходные кривые'!$B$19:$L$19,1,1),IF(G71&gt;=MAX('Исходные кривые'!$B$17:$L$17),INDEX('Исходные кривые'!$B$19:$L$19,1,COLUMNS('Исходные кривые'!$B$19:$L$19)),INDEX('Исходные кривые'!$B$19:$L$19,1,MATCH(G71,'Исходные кривые'!$B$17:$L$17,1))+(G71-INDEX('Исходные кривые'!$B$17:$L$17,1,MATCH(G71,'Исходные кривые'!$B$17:$L$17,1)))*(INDEX('Исходные кривые'!$B$19:$L$19,1,MATCH(G71,'Исходные кривые'!$B$17:$L$17,1)+1)-INDEX('Исходные кривые'!$B$19:$L$19,1,MATCH(G71,'Исходные кривые'!$B$17:$L$17,1)))/(INDEX('Исходные кривые'!$B$17:$L$17,1,MATCH(G71,'Исходные кривые'!$B$17:$L$17,1)+1)-INDEX('Исходные кривые'!$B$17:$L$17,1,MATCH(G71,'Исходные кривые'!$B$17:$L$17,1)))))</x:f>
        <x:v>-2.365890410958904</x:v>
      </x:c>
    </x:row>
    <x:row r="72">
      <x:c r="A72" s="131" t="str">
        <x:v>Своп 4</x:v>
      </x:c>
      <x:c r="B72" s="132" t="n">
        <x:v>47665</x:v>
      </x:c>
      <x:c r="C72" s="132" t="n">
        <x:v>49491</x:v>
      </x:c>
      <x:c r="D72" s="131" t="n">
        <x:v>3</x:v>
      </x:c>
      <x:c r="E72" s="132" t="n">
        <x:v>47939</x:v>
      </x:c>
      <x:c r="F72" s="176" t="n">
        <x:f>E72-'Настройки'!$B$4</x:f>
        <x:v>1736</x:v>
      </x:c>
      <x:c r="G72" s="177" t="n">
        <x:f>F72/'Настройки'!$B$5</x:f>
        <x:v>4.756164383561644</x:v>
      </x:c>
      <x:c r="H72" s="177" t="n">
        <x:f>IF(G72&lt;=MIN('Исходные кривые'!$B$4:$L$4),INDEX('Исходные кривые'!$B$5:$L$5,1,1),IF(G72&gt;=MAX('Исходные кривые'!$B$4:$L$4),INDEX('Исходные кривые'!$B$5:$L$5,1,COLUMNS('Исходные кривые'!$B$5:$L$5)),INDEX('Исходные кривые'!$B$5:$L$5,1,MATCH(G72,'Исходные кривые'!$B$4:$L$4,1))+(G72-INDEX('Исходные кривые'!$B$4:$L$4,1,MATCH(G72,'Исходные кривые'!$B$4:$L$4,1)))*(INDEX('Исходные кривые'!$B$5:$L$5,1,MATCH(G72,'Исходные кривые'!$B$4:$L$4,1)+1)-INDEX('Исходные кривые'!$B$5:$L$5,1,MATCH(G72,'Исходные кривые'!$B$4:$L$4,1)))/(INDEX('Исходные кривые'!$B$4:$L$4,1,MATCH(G72,'Исходные кривые'!$B$4:$L$4,1)+1)-INDEX('Исходные кривые'!$B$4:$L$4,1,MATCH(G72,'Исходные кривые'!$B$4:$L$4,1)))))</x:f>
        <x:v>15.30417808219178</x:v>
      </x:c>
      <x:c r="I72" s="177" t="n">
        <x:f>IF(G72&lt;=MIN('Исходные кривые'!$B$8:$N$8),INDEX('Исходные кривые'!$B$9:$N$9,1,1),IF(G72&gt;=MAX('Исходные кривые'!$B$8:$N$8),INDEX('Исходные кривые'!$B$9:$N$9,1,COLUMNS('Исходные кривые'!$B$9:$N$9)),INDEX('Исходные кривые'!$B$9:$N$9,1,MATCH(G72,'Исходные кривые'!$B$8:$N$8,1))+(G72-INDEX('Исходные кривые'!$B$8:$N$8,1,MATCH(G72,'Исходные кривые'!$B$8:$N$8,1)))*(INDEX('Исходные кривые'!$B$9:$N$9,1,MATCH(G72,'Исходные кривые'!$B$8:$N$8,1)+1)-INDEX('Исходные кривые'!$B$9:$N$9,1,MATCH(G72,'Исходные кривые'!$B$8:$N$8,1)))/(INDEX('Исходные кривые'!$B$8:$N$8,1,MATCH(G72,'Исходные кривые'!$B$8:$N$8,1)+1)-INDEX('Исходные кривые'!$B$8:$N$8,1,MATCH(G72,'Исходные кривые'!$B$8:$N$8,1)))))</x:f>
        <x:v>17.304178082191783</x:v>
      </x:c>
      <x:c r="J72" s="177" t="n">
        <x:f>IF(G72&lt;=MIN('Исходные кривые'!$B$12:$K$12),INDEX('Исходные кривые'!$B$13:$K$13,1,1),IF(G72&gt;=MAX('Исходные кривые'!$B$12:$K$12),INDEX('Исходные кривые'!$B$13:$K$13,1,COLUMNS('Исходные кривые'!$B$13:$K$13)),INDEX('Исходные кривые'!$B$13:$K$13,1,MATCH(G72,'Исходные кривые'!$B$12:$K$12,1))+(G72-INDEX('Исходные кривые'!$B$12:$K$12,1,MATCH(G72,'Исходные кривые'!$B$12:$K$12,1)))*(INDEX('Исходные кривые'!$B$13:$K$13,1,MATCH(G72,'Исходные кривые'!$B$12:$K$12,1)+1)-INDEX('Исходные кривые'!$B$13:$K$13,1,MATCH(G72,'Исходные кривые'!$B$12:$K$12,1)))/(INDEX('Исходные кривые'!$B$12:$K$12,1,MATCH(G72,'Исходные кривые'!$B$12:$K$12,1)+1)-INDEX('Исходные кривые'!$B$12:$K$12,1,MATCH(G72,'Исходные кривые'!$B$12:$K$12,1)))))</x:f>
        <x:v>48.73150684931507</x:v>
      </x:c>
      <x:c r="K72" s="177" t="n">
        <x:f>IF(G72&lt;=MIN('Исходные кривые'!$B$12:$K$12),INDEX('Исходные кривые'!$B$14:$K$14,1,1),IF(G72&gt;=MAX('Исходные кривые'!$B$12:$K$12),INDEX('Исходные кривые'!$B$14:$K$14,1,COLUMNS('Исходные кривые'!$B$14:$K$14)),INDEX('Исходные кривые'!$B$14:$K$14,1,MATCH(G72,'Исходные кривые'!$B$12:$K$12,1))+(G72-INDEX('Исходные кривые'!$B$12:$K$12,1,MATCH(G72,'Исходные кривые'!$B$12:$K$12,1)))*(INDEX('Исходные кривые'!$B$14:$K$14,1,MATCH(G72,'Исходные кривые'!$B$12:$K$12,1)+1)-INDEX('Исходные кривые'!$B$14:$K$14,1,MATCH(G72,'Исходные кривые'!$B$12:$K$12,1)))/(INDEX('Исходные кривые'!$B$12:$K$12,1,MATCH(G72,'Исходные кривые'!$B$12:$K$12,1)+1)-INDEX('Исходные кривые'!$B$12:$K$12,1,MATCH(G72,'Исходные кривые'!$B$12:$K$12,1)))))</x:f>
        <x:v>-27.121917808219177</x:v>
      </x:c>
      <x:c r="L72" s="177" t="n">
        <x:f>IF(G72&lt;=MIN('Исходные кривые'!$B$17:$L$17),INDEX('Исходные кривые'!$B$18:$L$18,1,1),IF(G72&gt;=MAX('Исходные кривые'!$B$17:$L$17),INDEX('Исходные кривые'!$B$18:$L$18,1,COLUMNS('Исходные кривые'!$B$18:$L$18)),INDEX('Исходные кривые'!$B$18:$L$18,1,MATCH(G72,'Исходные кривые'!$B$17:$L$17,1))+(G72-INDEX('Исходные кривые'!$B$17:$L$17,1,MATCH(G72,'Исходные кривые'!$B$17:$L$17,1)))*(INDEX('Исходные кривые'!$B$18:$L$18,1,MATCH(G72,'Исходные кривые'!$B$17:$L$17,1)+1)-INDEX('Исходные кривые'!$B$18:$L$18,1,MATCH(G72,'Исходные кривые'!$B$17:$L$17,1)))/(INDEX('Исходные кривые'!$B$17:$L$17,1,MATCH(G72,'Исходные кривые'!$B$17:$L$17,1)+1)-INDEX('Исходные кривые'!$B$17:$L$17,1,MATCH(G72,'Исходные кривые'!$B$17:$L$17,1)))))</x:f>
        <x:v>5.582876712328767</x:v>
      </x:c>
      <x:c r="M72" s="177" t="n">
        <x:f>IF(G72&lt;=MIN('Исходные кривые'!$B$17:$L$17),INDEX('Исходные кривые'!$B$19:$L$19,1,1),IF(G72&gt;=MAX('Исходные кривые'!$B$17:$L$17),INDEX('Исходные кривые'!$B$19:$L$19,1,COLUMNS('Исходные кривые'!$B$19:$L$19)),INDEX('Исходные кривые'!$B$19:$L$19,1,MATCH(G72,'Исходные кривые'!$B$17:$L$17,1))+(G72-INDEX('Исходные кривые'!$B$17:$L$17,1,MATCH(G72,'Исходные кривые'!$B$17:$L$17,1)))*(INDEX('Исходные кривые'!$B$19:$L$19,1,MATCH(G72,'Исходные кривые'!$B$17:$L$17,1)+1)-INDEX('Исходные кривые'!$B$19:$L$19,1,MATCH(G72,'Исходные кривые'!$B$17:$L$17,1)))/(INDEX('Исходные кривые'!$B$17:$L$17,1,MATCH(G72,'Исходные кривые'!$B$17:$L$17,1)+1)-INDEX('Исходные кривые'!$B$17:$L$17,1,MATCH(G72,'Исходные кривые'!$B$17:$L$17,1)))))</x:f>
        <x:v>-2.131643835616438</x:v>
      </x:c>
    </x:row>
    <x:row r="73">
      <x:c r="A73" s="131" t="str">
        <x:v>Своп 4</x:v>
      </x:c>
      <x:c r="B73" s="132" t="n">
        <x:v>47665</x:v>
      </x:c>
      <x:c r="C73" s="132" t="n">
        <x:v>49491</x:v>
      </x:c>
      <x:c r="D73" s="131" t="n">
        <x:v>4</x:v>
      </x:c>
      <x:c r="E73" s="132" t="n">
        <x:v>48030</x:v>
      </x:c>
      <x:c r="F73" s="176" t="n">
        <x:f>E73-'Настройки'!$B$4</x:f>
        <x:v>1827</x:v>
      </x:c>
      <x:c r="G73" s="177" t="n">
        <x:f>F73/'Настройки'!$B$5</x:f>
        <x:v>5.005479452054795</x:v>
      </x:c>
      <x:c r="H73" s="177" t="n">
        <x:f>IF(G73&lt;=MIN('Исходные кривые'!$B$4:$L$4),INDEX('Исходные кривые'!$B$5:$L$5,1,1),IF(G73&gt;=MAX('Исходные кривые'!$B$4:$L$4),INDEX('Исходные кривые'!$B$5:$L$5,1,COLUMNS('Исходные кривые'!$B$5:$L$5)),INDEX('Исходные кривые'!$B$5:$L$5,1,MATCH(G73,'Исходные кривые'!$B$4:$L$4,1))+(G73-INDEX('Исходные кривые'!$B$4:$L$4,1,MATCH(G73,'Исходные кривые'!$B$4:$L$4,1)))*(INDEX('Исходные кривые'!$B$5:$L$5,1,MATCH(G73,'Исходные кривые'!$B$4:$L$4,1)+1)-INDEX('Исходные кривые'!$B$5:$L$5,1,MATCH(G73,'Исходные кривые'!$B$4:$L$4,1)))/(INDEX('Исходные кривые'!$B$4:$L$4,1,MATCH(G73,'Исходные кривые'!$B$4:$L$4,1)+1)-INDEX('Исходные кривые'!$B$4:$L$4,1,MATCH(G73,'Исходные кривые'!$B$4:$L$4,1)))))</x:f>
        <x:v>15.421534246575343</x:v>
      </x:c>
      <x:c r="I73" s="177" t="n">
        <x:f>IF(G73&lt;=MIN('Исходные кривые'!$B$8:$N$8),INDEX('Исходные кривые'!$B$9:$N$9,1,1),IF(G73&gt;=MAX('Исходные кривые'!$B$8:$N$8),INDEX('Исходные кривые'!$B$9:$N$9,1,COLUMNS('Исходные кривые'!$B$9:$N$9)),INDEX('Исходные кривые'!$B$9:$N$9,1,MATCH(G73,'Исходные кривые'!$B$8:$N$8,1))+(G73-INDEX('Исходные кривые'!$B$8:$N$8,1,MATCH(G73,'Исходные кривые'!$B$8:$N$8,1)))*(INDEX('Исходные кривые'!$B$9:$N$9,1,MATCH(G73,'Исходные кривые'!$B$8:$N$8,1)+1)-INDEX('Исходные кривые'!$B$9:$N$9,1,MATCH(G73,'Исходные кривые'!$B$8:$N$8,1)))/(INDEX('Исходные кривые'!$B$8:$N$8,1,MATCH(G73,'Исходные кривые'!$B$8:$N$8,1)+1)-INDEX('Исходные кривые'!$B$8:$N$8,1,MATCH(G73,'Исходные кривые'!$B$8:$N$8,1)))))</x:f>
        <x:v>17.421534246575344</x:v>
      </x:c>
      <x:c r="J73" s="177" t="n">
        <x:f>IF(G73&lt;=MIN('Исходные кривые'!$B$12:$K$12),INDEX('Исходные кривые'!$B$13:$K$13,1,1),IF(G73&gt;=MAX('Исходные кривые'!$B$12:$K$12),INDEX('Исходные кривые'!$B$13:$K$13,1,COLUMNS('Исходные кривые'!$B$13:$K$13)),INDEX('Исходные кривые'!$B$13:$K$13,1,MATCH(G73,'Исходные кривые'!$B$12:$K$12,1))+(G73-INDEX('Исходные кривые'!$B$12:$K$12,1,MATCH(G73,'Исходные кривые'!$B$12:$K$12,1)))*(INDEX('Исходные кривые'!$B$13:$K$13,1,MATCH(G73,'Исходные кривые'!$B$12:$K$12,1)+1)-INDEX('Исходные кривые'!$B$13:$K$13,1,MATCH(G73,'Исходные кривые'!$B$12:$K$12,1)))/(INDEX('Исходные кривые'!$B$12:$K$12,1,MATCH(G73,'Исходные кривые'!$B$12:$K$12,1)+1)-INDEX('Исходные кривые'!$B$12:$K$12,1,MATCH(G73,'Исходные кривые'!$B$12:$K$12,1)))))</x:f>
        <x:v>47.983561643835614</x:v>
      </x:c>
      <x:c r="K73" s="177" t="n">
        <x:f>IF(G73&lt;=MIN('Исходные кривые'!$B$12:$K$12),INDEX('Исходные кривые'!$B$14:$K$14,1,1),IF(G73&gt;=MAX('Исходные кривые'!$B$12:$K$12),INDEX('Исходные кривые'!$B$14:$K$14,1,COLUMNS('Исходные кривые'!$B$14:$K$14)),INDEX('Исходные кривые'!$B$14:$K$14,1,MATCH(G73,'Исходные кривые'!$B$12:$K$12,1))+(G73-INDEX('Исходные кривые'!$B$12:$K$12,1,MATCH(G73,'Исходные кривые'!$B$12:$K$12,1)))*(INDEX('Исходные кривые'!$B$14:$K$14,1,MATCH(G73,'Исходные кривые'!$B$12:$K$12,1)+1)-INDEX('Исходные кривые'!$B$14:$K$14,1,MATCH(G73,'Исходные кривые'!$B$12:$K$12,1)))/(INDEX('Исходные кривые'!$B$12:$K$12,1,MATCH(G73,'Исходные кривые'!$B$12:$K$12,1)+1)-INDEX('Исходные кривые'!$B$12:$K$12,1,MATCH(G73,'Исходные кривые'!$B$12:$K$12,1)))))</x:f>
        <x:v>-26.997260273972604</x:v>
      </x:c>
      <x:c r="L73" s="177" t="n">
        <x:f>IF(G73&lt;=MIN('Исходные кривые'!$B$17:$L$17),INDEX('Исходные кривые'!$B$18:$L$18,1,1),IF(G73&gt;=MAX('Исходные кривые'!$B$17:$L$17),INDEX('Исходные кривые'!$B$18:$L$18,1,COLUMNS('Исходные кривые'!$B$18:$L$18)),INDEX('Исходные кривые'!$B$18:$L$18,1,MATCH(G73,'Исходные кривые'!$B$17:$L$17,1))+(G73-INDEX('Исходные кривые'!$B$17:$L$17,1,MATCH(G73,'Исходные кривые'!$B$17:$L$17,1)))*(INDEX('Исходные кривые'!$B$18:$L$18,1,MATCH(G73,'Исходные кривые'!$B$17:$L$17,1)+1)-INDEX('Исходные кривые'!$B$18:$L$18,1,MATCH(G73,'Исходные кривые'!$B$17:$L$17,1)))/(INDEX('Исходные кривые'!$B$17:$L$17,1,MATCH(G73,'Исходные кривые'!$B$17:$L$17,1)+1)-INDEX('Исходные кривые'!$B$17:$L$17,1,MATCH(G73,'Исходные кривые'!$B$17:$L$17,1)))))</x:f>
        <x:v>5.4</x:v>
      </x:c>
      <x:c r="M73" s="177" t="n">
        <x:f>IF(G73&lt;=MIN('Исходные кривые'!$B$17:$L$17),INDEX('Исходные кривые'!$B$19:$L$19,1,1),IF(G73&gt;=MAX('Исходные кривые'!$B$17:$L$17),INDEX('Исходные кривые'!$B$19:$L$19,1,COLUMNS('Исходные кривые'!$B$19:$L$19)),INDEX('Исходные кривые'!$B$19:$L$19,1,MATCH(G73,'Исходные кривые'!$B$17:$L$17,1))+(G73-INDEX('Исходные кривые'!$B$17:$L$17,1,MATCH(G73,'Исходные кривые'!$B$17:$L$17,1)))*(INDEX('Исходные кривые'!$B$19:$L$19,1,MATCH(G73,'Исходные кривые'!$B$17:$L$17,1)+1)-INDEX('Исходные кривые'!$B$19:$L$19,1,MATCH(G73,'Исходные кривые'!$B$17:$L$17,1)))/(INDEX('Исходные кривые'!$B$17:$L$17,1,MATCH(G73,'Исходные кривые'!$B$17:$L$17,1)+1)-INDEX('Исходные кривые'!$B$17:$L$17,1,MATCH(G73,'Исходные кривые'!$B$17:$L$17,1)))))</x:f>
        <x:v>-1.9</x:v>
      </x:c>
    </x:row>
    <x:row r="74">
      <x:c r="A74" s="131" t="str">
        <x:v>Своп 4</x:v>
      </x:c>
      <x:c r="B74" s="132" t="n">
        <x:v>47665</x:v>
      </x:c>
      <x:c r="C74" s="132" t="n">
        <x:v>49491</x:v>
      </x:c>
      <x:c r="D74" s="131" t="n">
        <x:v>5</x:v>
      </x:c>
      <x:c r="E74" s="132" t="n">
        <x:v>48122</x:v>
      </x:c>
      <x:c r="F74" s="176" t="n">
        <x:f>E74-'Настройки'!$B$4</x:f>
        <x:v>1919</x:v>
      </x:c>
      <x:c r="G74" s="177" t="n">
        <x:f>F74/'Настройки'!$B$5</x:f>
        <x:v>5.257534246575342</x:v>
      </x:c>
      <x:c r="H74" s="177" t="n">
        <x:f>IF(G74&lt;=MIN('Исходные кривые'!$B$4:$L$4),INDEX('Исходные кривые'!$B$5:$L$5,1,1),IF(G74&gt;=MAX('Исходные кривые'!$B$4:$L$4),INDEX('Исходные кривые'!$B$5:$L$5,1,COLUMNS('Исходные кривые'!$B$5:$L$5)),INDEX('Исходные кривые'!$B$5:$L$5,1,MATCH(G74,'Исходные кривые'!$B$4:$L$4,1))+(G74-INDEX('Исходные кривые'!$B$4:$L$4,1,MATCH(G74,'Исходные кривые'!$B$4:$L$4,1)))*(INDEX('Исходные кривые'!$B$5:$L$5,1,MATCH(G74,'Исходные кривые'!$B$4:$L$4,1)+1)-INDEX('Исходные кривые'!$B$5:$L$5,1,MATCH(G74,'Исходные кривые'!$B$4:$L$4,1)))/(INDEX('Исходные кривые'!$B$4:$L$4,1,MATCH(G74,'Исходные кривые'!$B$4:$L$4,1)+1)-INDEX('Исходные кривые'!$B$4:$L$4,1,MATCH(G74,'Исходные кривые'!$B$4:$L$4,1)))))</x:f>
        <x:v>15.492109589041096</x:v>
      </x:c>
      <x:c r="I74" s="177" t="n">
        <x:f>IF(G74&lt;=MIN('Исходные кривые'!$B$8:$N$8),INDEX('Исходные кривые'!$B$9:$N$9,1,1),IF(G74&gt;=MAX('Исходные кривые'!$B$8:$N$8),INDEX('Исходные кривые'!$B$9:$N$9,1,COLUMNS('Исходные кривые'!$B$9:$N$9)),INDEX('Исходные кривые'!$B$9:$N$9,1,MATCH(G74,'Исходные кривые'!$B$8:$N$8,1))+(G74-INDEX('Исходные кривые'!$B$8:$N$8,1,MATCH(G74,'Исходные кривые'!$B$8:$N$8,1)))*(INDEX('Исходные кривые'!$B$9:$N$9,1,MATCH(G74,'Исходные кривые'!$B$8:$N$8,1)+1)-INDEX('Исходные кривые'!$B$9:$N$9,1,MATCH(G74,'Исходные кривые'!$B$8:$N$8,1)))/(INDEX('Исходные кривые'!$B$8:$N$8,1,MATCH(G74,'Исходные кривые'!$B$8:$N$8,1)+1)-INDEX('Исходные кривые'!$B$8:$N$8,1,MATCH(G74,'Исходные кривые'!$B$8:$N$8,1)))))</x:f>
        <x:v>17.492109589041096</x:v>
      </x:c>
      <x:c r="J74" s="177" t="n">
        <x:f>IF(G74&lt;=MIN('Исходные кривые'!$B$12:$K$12),INDEX('Исходные кривые'!$B$13:$K$13,1,1),IF(G74&gt;=MAX('Исходные кривые'!$B$12:$K$12),INDEX('Исходные кривые'!$B$13:$K$13,1,COLUMNS('Исходные кривые'!$B$13:$K$13)),INDEX('Исходные кривые'!$B$13:$K$13,1,MATCH(G74,'Исходные кривые'!$B$12:$K$12,1))+(G74-INDEX('Исходные кривые'!$B$12:$K$12,1,MATCH(G74,'Исходные кривые'!$B$12:$K$12,1)))*(INDEX('Исходные кривые'!$B$13:$K$13,1,MATCH(G74,'Исходные кривые'!$B$12:$K$12,1)+1)-INDEX('Исходные кривые'!$B$13:$K$13,1,MATCH(G74,'Исходные кривые'!$B$12:$K$12,1)))/(INDEX('Исходные кривые'!$B$12:$K$12,1,MATCH(G74,'Исходные кривые'!$B$12:$K$12,1)+1)-INDEX('Исходные кривые'!$B$12:$K$12,1,MATCH(G74,'Исходные кривые'!$B$12:$K$12,1)))))</x:f>
        <x:v>47.227397260273975</x:v>
      </x:c>
      <x:c r="K74" s="177" t="n">
        <x:f>IF(G74&lt;=MIN('Исходные кривые'!$B$12:$K$12),INDEX('Исходные кривые'!$B$14:$K$14,1,1),IF(G74&gt;=MAX('Исходные кривые'!$B$12:$K$12),INDEX('Исходные кривые'!$B$14:$K$14,1,COLUMNS('Исходные кривые'!$B$14:$K$14)),INDEX('Исходные кривые'!$B$14:$K$14,1,MATCH(G74,'Исходные кривые'!$B$12:$K$12,1))+(G74-INDEX('Исходные кривые'!$B$12:$K$12,1,MATCH(G74,'Исходные кривые'!$B$12:$K$12,1)))*(INDEX('Исходные кривые'!$B$14:$K$14,1,MATCH(G74,'Исходные кривые'!$B$12:$K$12,1)+1)-INDEX('Исходные кривые'!$B$14:$K$14,1,MATCH(G74,'Исходные кривые'!$B$12:$K$12,1)))/(INDEX('Исходные кривые'!$B$12:$K$12,1,MATCH(G74,'Исходные кривые'!$B$12:$K$12,1)+1)-INDEX('Исходные кривые'!$B$12:$K$12,1,MATCH(G74,'Исходные кривые'!$B$12:$K$12,1)))))</x:f>
        <x:v>-26.87123287671233</x:v>
      </x:c>
      <x:c r="L74" s="177" t="n">
        <x:f>IF(G74&lt;=MIN('Исходные кривые'!$B$17:$L$17),INDEX('Исходные кривые'!$B$18:$L$18,1,1),IF(G74&gt;=MAX('Исходные кривые'!$B$17:$L$17),INDEX('Исходные кривые'!$B$18:$L$18,1,COLUMNS('Исходные кривые'!$B$18:$L$18)),INDEX('Исходные кривые'!$B$18:$L$18,1,MATCH(G74,'Исходные кривые'!$B$17:$L$17,1))+(G74-INDEX('Исходные кривые'!$B$17:$L$17,1,MATCH(G74,'Исходные кривые'!$B$17:$L$17,1)))*(INDEX('Исходные кривые'!$B$18:$L$18,1,MATCH(G74,'Исходные кривые'!$B$17:$L$17,1)+1)-INDEX('Исходные кривые'!$B$18:$L$18,1,MATCH(G74,'Исходные кривые'!$B$17:$L$17,1)))/(INDEX('Исходные кривые'!$B$17:$L$17,1,MATCH(G74,'Исходные кривые'!$B$17:$L$17,1)+1)-INDEX('Исходные кривые'!$B$17:$L$17,1,MATCH(G74,'Исходные кривые'!$B$17:$L$17,1)))))</x:f>
        <x:v>5.4</x:v>
      </x:c>
      <x:c r="M74" s="177" t="n">
        <x:f>IF(G74&lt;=MIN('Исходные кривые'!$B$17:$L$17),INDEX('Исходные кривые'!$B$19:$L$19,1,1),IF(G74&gt;=MAX('Исходные кривые'!$B$17:$L$17),INDEX('Исходные кривые'!$B$19:$L$19,1,COLUMNS('Исходные кривые'!$B$19:$L$19)),INDEX('Исходные кривые'!$B$19:$L$19,1,MATCH(G74,'Исходные кривые'!$B$17:$L$17,1))+(G74-INDEX('Исходные кривые'!$B$17:$L$17,1,MATCH(G74,'Исходные кривые'!$B$17:$L$17,1)))*(INDEX('Исходные кривые'!$B$19:$L$19,1,MATCH(G74,'Исходные кривые'!$B$17:$L$17,1)+1)-INDEX('Исходные кривые'!$B$19:$L$19,1,MATCH(G74,'Исходные кривые'!$B$17:$L$17,1)))/(INDEX('Исходные кривые'!$B$17:$L$17,1,MATCH(G74,'Исходные кривые'!$B$17:$L$17,1)+1)-INDEX('Исходные кривые'!$B$17:$L$17,1,MATCH(G74,'Исходные кривые'!$B$17:$L$17,1)))))</x:f>
        <x:v>-1.9</x:v>
      </x:c>
    </x:row>
    <x:row r="75">
      <x:c r="A75" s="131" t="str">
        <x:v>Своп 4</x:v>
      </x:c>
      <x:c r="B75" s="132" t="n">
        <x:v>47665</x:v>
      </x:c>
      <x:c r="C75" s="132" t="n">
        <x:v>49491</x:v>
      </x:c>
      <x:c r="D75" s="131" t="n">
        <x:v>6</x:v>
      </x:c>
      <x:c r="E75" s="132" t="n">
        <x:v>48214</x:v>
      </x:c>
      <x:c r="F75" s="176" t="n">
        <x:f>E75-'Настройки'!$B$4</x:f>
        <x:v>2011</x:v>
      </x:c>
      <x:c r="G75" s="177" t="n">
        <x:f>F75/'Настройки'!$B$5</x:f>
        <x:v>5.50958904109589</x:v>
      </x:c>
      <x:c r="H75" s="177" t="n">
        <x:f>IF(G75&lt;=MIN('Исходные кривые'!$B$4:$L$4),INDEX('Исходные кривые'!$B$5:$L$5,1,1),IF(G75&gt;=MAX('Исходные кривые'!$B$4:$L$4),INDEX('Исходные кривые'!$B$5:$L$5,1,COLUMNS('Исходные кривые'!$B$5:$L$5)),INDEX('Исходные кривые'!$B$5:$L$5,1,MATCH(G75,'Исходные кривые'!$B$4:$L$4,1))+(G75-INDEX('Исходные кривые'!$B$4:$L$4,1,MATCH(G75,'Исходные кривые'!$B$4:$L$4,1)))*(INDEX('Исходные кривые'!$B$5:$L$5,1,MATCH(G75,'Исходные кривые'!$B$4:$L$4,1)+1)-INDEX('Исходные кривые'!$B$5:$L$5,1,MATCH(G75,'Исходные кривые'!$B$4:$L$4,1)))/(INDEX('Исходные кривые'!$B$4:$L$4,1,MATCH(G75,'Исходные кривые'!$B$4:$L$4,1)+1)-INDEX('Исходные кривые'!$B$4:$L$4,1,MATCH(G75,'Исходные кривые'!$B$4:$L$4,1)))))</x:f>
        <x:v>15.56268493150685</x:v>
      </x:c>
      <x:c r="I75" s="177" t="n">
        <x:f>IF(G75&lt;=MIN('Исходные кривые'!$B$8:$N$8),INDEX('Исходные кривые'!$B$9:$N$9,1,1),IF(G75&gt;=MAX('Исходные кривые'!$B$8:$N$8),INDEX('Исходные кривые'!$B$9:$N$9,1,COLUMNS('Исходные кривые'!$B$9:$N$9)),INDEX('Исходные кривые'!$B$9:$N$9,1,MATCH(G75,'Исходные кривые'!$B$8:$N$8,1))+(G75-INDEX('Исходные кривые'!$B$8:$N$8,1,MATCH(G75,'Исходные кривые'!$B$8:$N$8,1)))*(INDEX('Исходные кривые'!$B$9:$N$9,1,MATCH(G75,'Исходные кривые'!$B$8:$N$8,1)+1)-INDEX('Исходные кривые'!$B$9:$N$9,1,MATCH(G75,'Исходные кривые'!$B$8:$N$8,1)))/(INDEX('Исходные кривые'!$B$8:$N$8,1,MATCH(G75,'Исходные кривые'!$B$8:$N$8,1)+1)-INDEX('Исходные кривые'!$B$8:$N$8,1,MATCH(G75,'Исходные кривые'!$B$8:$N$8,1)))))</x:f>
        <x:v>17.56268493150685</x:v>
      </x:c>
      <x:c r="J75" s="177" t="n">
        <x:f>IF(G75&lt;=MIN('Исходные кривые'!$B$12:$K$12),INDEX('Исходные кривые'!$B$13:$K$13,1,1),IF(G75&gt;=MAX('Исходные кривые'!$B$12:$K$12),INDEX('Исходные кривые'!$B$13:$K$13,1,COLUMNS('Исходные кривые'!$B$13:$K$13)),INDEX('Исходные кривые'!$B$13:$K$13,1,MATCH(G75,'Исходные кривые'!$B$12:$K$12,1))+(G75-INDEX('Исходные кривые'!$B$12:$K$12,1,MATCH(G75,'Исходные кривые'!$B$12:$K$12,1)))*(INDEX('Исходные кривые'!$B$13:$K$13,1,MATCH(G75,'Исходные кривые'!$B$12:$K$12,1)+1)-INDEX('Исходные кривые'!$B$13:$K$13,1,MATCH(G75,'Исходные кривые'!$B$12:$K$12,1)))/(INDEX('Исходные кривые'!$B$12:$K$12,1,MATCH(G75,'Исходные кривые'!$B$12:$K$12,1)+1)-INDEX('Исходные кривые'!$B$12:$K$12,1,MATCH(G75,'Исходные кривые'!$B$12:$K$12,1)))))</x:f>
        <x:v>46.47123287671233</x:v>
      </x:c>
      <x:c r="K75" s="177" t="n">
        <x:f>IF(G75&lt;=MIN('Исходные кривые'!$B$12:$K$12),INDEX('Исходные кривые'!$B$14:$K$14,1,1),IF(G75&gt;=MAX('Исходные кривые'!$B$12:$K$12),INDEX('Исходные кривые'!$B$14:$K$14,1,COLUMNS('Исходные кривые'!$B$14:$K$14)),INDEX('Исходные кривые'!$B$14:$K$14,1,MATCH(G75,'Исходные кривые'!$B$12:$K$12,1))+(G75-INDEX('Исходные кривые'!$B$12:$K$12,1,MATCH(G75,'Исходные кривые'!$B$12:$K$12,1)))*(INDEX('Исходные кривые'!$B$14:$K$14,1,MATCH(G75,'Исходные кривые'!$B$12:$K$12,1)+1)-INDEX('Исходные кривые'!$B$14:$K$14,1,MATCH(G75,'Исходные кривые'!$B$12:$K$12,1)))/(INDEX('Исходные кривые'!$B$12:$K$12,1,MATCH(G75,'Исходные кривые'!$B$12:$K$12,1)+1)-INDEX('Исходные кривые'!$B$12:$K$12,1,MATCH(G75,'Исходные кривые'!$B$12:$K$12,1)))))</x:f>
        <x:v>-26.745205479452054</x:v>
      </x:c>
      <x:c r="L75" s="177" t="n">
        <x:f>IF(G75&lt;=MIN('Исходные кривые'!$B$17:$L$17),INDEX('Исходные кривые'!$B$18:$L$18,1,1),IF(G75&gt;=MAX('Исходные кривые'!$B$17:$L$17),INDEX('Исходные кривые'!$B$18:$L$18,1,COLUMNS('Исходные кривые'!$B$18:$L$18)),INDEX('Исходные кривые'!$B$18:$L$18,1,MATCH(G75,'Исходные кривые'!$B$17:$L$17,1))+(G75-INDEX('Исходные кривые'!$B$17:$L$17,1,MATCH(G75,'Исходные кривые'!$B$17:$L$17,1)))*(INDEX('Исходные кривые'!$B$18:$L$18,1,MATCH(G75,'Исходные кривые'!$B$17:$L$17,1)+1)-INDEX('Исходные кривые'!$B$18:$L$18,1,MATCH(G75,'Исходные кривые'!$B$17:$L$17,1)))/(INDEX('Исходные кривые'!$B$17:$L$17,1,MATCH(G75,'Исходные кривые'!$B$17:$L$17,1)+1)-INDEX('Исходные кривые'!$B$17:$L$17,1,MATCH(G75,'Исходные кривые'!$B$17:$L$17,1)))))</x:f>
        <x:v>5.4</x:v>
      </x:c>
      <x:c r="M75" s="177" t="n">
        <x:f>IF(G75&lt;=MIN('Исходные кривые'!$B$17:$L$17),INDEX('Исходные кривые'!$B$19:$L$19,1,1),IF(G75&gt;=MAX('Исходные кривые'!$B$17:$L$17),INDEX('Исходные кривые'!$B$19:$L$19,1,COLUMNS('Исходные кривые'!$B$19:$L$19)),INDEX('Исходные кривые'!$B$19:$L$19,1,MATCH(G75,'Исходные кривые'!$B$17:$L$17,1))+(G75-INDEX('Исходные кривые'!$B$17:$L$17,1,MATCH(G75,'Исходные кривые'!$B$17:$L$17,1)))*(INDEX('Исходные кривые'!$B$19:$L$19,1,MATCH(G75,'Исходные кривые'!$B$17:$L$17,1)+1)-INDEX('Исходные кривые'!$B$19:$L$19,1,MATCH(G75,'Исходные кривые'!$B$17:$L$17,1)))/(INDEX('Исходные кривые'!$B$17:$L$17,1,MATCH(G75,'Исходные кривые'!$B$17:$L$17,1)+1)-INDEX('Исходные кривые'!$B$17:$L$17,1,MATCH(G75,'Исходные кривые'!$B$17:$L$17,1)))))</x:f>
        <x:v>-1.9</x:v>
      </x:c>
    </x:row>
    <x:row r="76">
      <x:c r="A76" s="131" t="str">
        <x:v>Своп 4</x:v>
      </x:c>
      <x:c r="B76" s="132" t="n">
        <x:v>47665</x:v>
      </x:c>
      <x:c r="C76" s="132" t="n">
        <x:v>49491</x:v>
      </x:c>
      <x:c r="D76" s="131" t="n">
        <x:v>7</x:v>
      </x:c>
      <x:c r="E76" s="132" t="n">
        <x:v>48305</x:v>
      </x:c>
      <x:c r="F76" s="176" t="n">
        <x:f>E76-'Настройки'!$B$4</x:f>
        <x:v>2102</x:v>
      </x:c>
      <x:c r="G76" s="177" t="n">
        <x:f>F76/'Настройки'!$B$5</x:f>
        <x:v>5.758904109589041</x:v>
      </x:c>
      <x:c r="H76" s="177" t="n">
        <x:f>IF(G76&lt;=MIN('Исходные кривые'!$B$4:$L$4),INDEX('Исходные кривые'!$B$5:$L$5,1,1),IF(G76&gt;=MAX('Исходные кривые'!$B$4:$L$4),INDEX('Исходные кривые'!$B$5:$L$5,1,COLUMNS('Исходные кривые'!$B$5:$L$5)),INDEX('Исходные кривые'!$B$5:$L$5,1,MATCH(G76,'Исходные кривые'!$B$4:$L$4,1))+(G76-INDEX('Исходные кривые'!$B$4:$L$4,1,MATCH(G76,'Исходные кривые'!$B$4:$L$4,1)))*(INDEX('Исходные кривые'!$B$5:$L$5,1,MATCH(G76,'Исходные кривые'!$B$4:$L$4,1)+1)-INDEX('Исходные кривые'!$B$5:$L$5,1,MATCH(G76,'Исходные кривые'!$B$4:$L$4,1)))/(INDEX('Исходные кривые'!$B$4:$L$4,1,MATCH(G76,'Исходные кривые'!$B$4:$L$4,1)+1)-INDEX('Исходные кривые'!$B$4:$L$4,1,MATCH(G76,'Исходные кривые'!$B$4:$L$4,1)))))</x:f>
        <x:v>15.632493150684931</x:v>
      </x:c>
      <x:c r="I76" s="177" t="n">
        <x:f>IF(G76&lt;=MIN('Исходные кривые'!$B$8:$N$8),INDEX('Исходные кривые'!$B$9:$N$9,1,1),IF(G76&gt;=MAX('Исходные кривые'!$B$8:$N$8),INDEX('Исходные кривые'!$B$9:$N$9,1,COLUMNS('Исходные кривые'!$B$9:$N$9)),INDEX('Исходные кривые'!$B$9:$N$9,1,MATCH(G76,'Исходные кривые'!$B$8:$N$8,1))+(G76-INDEX('Исходные кривые'!$B$8:$N$8,1,MATCH(G76,'Исходные кривые'!$B$8:$N$8,1)))*(INDEX('Исходные кривые'!$B$9:$N$9,1,MATCH(G76,'Исходные кривые'!$B$8:$N$8,1)+1)-INDEX('Исходные кривые'!$B$9:$N$9,1,MATCH(G76,'Исходные кривые'!$B$8:$N$8,1)))/(INDEX('Исходные кривые'!$B$8:$N$8,1,MATCH(G76,'Исходные кривые'!$B$8:$N$8,1)+1)-INDEX('Исходные кривые'!$B$8:$N$8,1,MATCH(G76,'Исходные кривые'!$B$8:$N$8,1)))))</x:f>
        <x:v>17.632493150684933</x:v>
      </x:c>
      <x:c r="J76" s="177" t="n">
        <x:f>IF(G76&lt;=MIN('Исходные кривые'!$B$12:$K$12),INDEX('Исходные кривые'!$B$13:$K$13,1,1),IF(G76&gt;=MAX('Исходные кривые'!$B$12:$K$12),INDEX('Исходные кривые'!$B$13:$K$13,1,COLUMNS('Исходные кривые'!$B$13:$K$13)),INDEX('Исходные кривые'!$B$13:$K$13,1,MATCH(G76,'Исходные кривые'!$B$12:$K$12,1))+(G76-INDEX('Исходные кривые'!$B$12:$K$12,1,MATCH(G76,'Исходные кривые'!$B$12:$K$12,1)))*(INDEX('Исходные кривые'!$B$13:$K$13,1,MATCH(G76,'Исходные кривые'!$B$12:$K$12,1)+1)-INDEX('Исходные кривые'!$B$13:$K$13,1,MATCH(G76,'Исходные кривые'!$B$12:$K$12,1)))/(INDEX('Исходные кривые'!$B$12:$K$12,1,MATCH(G76,'Исходные кривые'!$B$12:$K$12,1)+1)-INDEX('Исходные кривые'!$B$12:$K$12,1,MATCH(G76,'Исходные кривые'!$B$12:$K$12,1)))))</x:f>
        <x:v>45.723287671232875</x:v>
      </x:c>
      <x:c r="K76" s="177" t="n">
        <x:f>IF(G76&lt;=MIN('Исходные кривые'!$B$12:$K$12),INDEX('Исходные кривые'!$B$14:$K$14,1,1),IF(G76&gt;=MAX('Исходные кривые'!$B$12:$K$12),INDEX('Исходные кривые'!$B$14:$K$14,1,COLUMNS('Исходные кривые'!$B$14:$K$14)),INDEX('Исходные кривые'!$B$14:$K$14,1,MATCH(G76,'Исходные кривые'!$B$12:$K$12,1))+(G76-INDEX('Исходные кривые'!$B$12:$K$12,1,MATCH(G76,'Исходные кривые'!$B$12:$K$12,1)))*(INDEX('Исходные кривые'!$B$14:$K$14,1,MATCH(G76,'Исходные кривые'!$B$12:$K$12,1)+1)-INDEX('Исходные кривые'!$B$14:$K$14,1,MATCH(G76,'Исходные кривые'!$B$12:$K$12,1)))/(INDEX('Исходные кривые'!$B$12:$K$12,1,MATCH(G76,'Исходные кривые'!$B$12:$K$12,1)+1)-INDEX('Исходные кривые'!$B$12:$K$12,1,MATCH(G76,'Исходные кривые'!$B$12:$K$12,1)))))</x:f>
        <x:v>-26.62054794520548</x:v>
      </x:c>
      <x:c r="L76" s="177" t="n">
        <x:f>IF(G76&lt;=MIN('Исходные кривые'!$B$17:$L$17),INDEX('Исходные кривые'!$B$18:$L$18,1,1),IF(G76&gt;=MAX('Исходные кривые'!$B$17:$L$17),INDEX('Исходные кривые'!$B$18:$L$18,1,COLUMNS('Исходные кривые'!$B$18:$L$18)),INDEX('Исходные кривые'!$B$18:$L$18,1,MATCH(G76,'Исходные кривые'!$B$17:$L$17,1))+(G76-INDEX('Исходные кривые'!$B$17:$L$17,1,MATCH(G76,'Исходные кривые'!$B$17:$L$17,1)))*(INDEX('Исходные кривые'!$B$18:$L$18,1,MATCH(G76,'Исходные кривые'!$B$17:$L$17,1)+1)-INDEX('Исходные кривые'!$B$18:$L$18,1,MATCH(G76,'Исходные кривые'!$B$17:$L$17,1)))/(INDEX('Исходные кривые'!$B$17:$L$17,1,MATCH(G76,'Исходные кривые'!$B$17:$L$17,1)+1)-INDEX('Исходные кривые'!$B$17:$L$17,1,MATCH(G76,'Исходные кривые'!$B$17:$L$17,1)))))</x:f>
        <x:v>5.4</x:v>
      </x:c>
      <x:c r="M76" s="177" t="n">
        <x:f>IF(G76&lt;=MIN('Исходные кривые'!$B$17:$L$17),INDEX('Исходные кривые'!$B$19:$L$19,1,1),IF(G76&gt;=MAX('Исходные кривые'!$B$17:$L$17),INDEX('Исходные кривые'!$B$19:$L$19,1,COLUMNS('Исходные кривые'!$B$19:$L$19)),INDEX('Исходные кривые'!$B$19:$L$19,1,MATCH(G76,'Исходные кривые'!$B$17:$L$17,1))+(G76-INDEX('Исходные кривые'!$B$17:$L$17,1,MATCH(G76,'Исходные кривые'!$B$17:$L$17,1)))*(INDEX('Исходные кривые'!$B$19:$L$19,1,MATCH(G76,'Исходные кривые'!$B$17:$L$17,1)+1)-INDEX('Исходные кривые'!$B$19:$L$19,1,MATCH(G76,'Исходные кривые'!$B$17:$L$17,1)))/(INDEX('Исходные кривые'!$B$17:$L$17,1,MATCH(G76,'Исходные кривые'!$B$17:$L$17,1)+1)-INDEX('Исходные кривые'!$B$17:$L$17,1,MATCH(G76,'Исходные кривые'!$B$17:$L$17,1)))))</x:f>
        <x:v>-1.9</x:v>
      </x:c>
    </x:row>
    <x:row r="77">
      <x:c r="A77" s="131" t="str">
        <x:v>Своп 4</x:v>
      </x:c>
      <x:c r="B77" s="132" t="n">
        <x:v>47665</x:v>
      </x:c>
      <x:c r="C77" s="132" t="n">
        <x:v>49491</x:v>
      </x:c>
      <x:c r="D77" s="131" t="n">
        <x:v>8</x:v>
      </x:c>
      <x:c r="E77" s="132" t="n">
        <x:v>48396</x:v>
      </x:c>
      <x:c r="F77" s="176" t="n">
        <x:f>E77-'Настройки'!$B$4</x:f>
        <x:v>2193</x:v>
      </x:c>
      <x:c r="G77" s="177" t="n">
        <x:f>F77/'Настройки'!$B$5</x:f>
        <x:v>6.008219178082192</x:v>
      </x:c>
      <x:c r="H77" s="177" t="n">
        <x:f>IF(G77&lt;=MIN('Исходные кривые'!$B$4:$L$4),INDEX('Исходные кривые'!$B$5:$L$5,1,1),IF(G77&gt;=MAX('Исходные кривые'!$B$4:$L$4),INDEX('Исходные кривые'!$B$5:$L$5,1,COLUMNS('Исходные кривые'!$B$5:$L$5)),INDEX('Исходные кривые'!$B$5:$L$5,1,MATCH(G77,'Исходные кривые'!$B$4:$L$4,1))+(G77-INDEX('Исходные кривые'!$B$4:$L$4,1,MATCH(G77,'Исходные кривые'!$B$4:$L$4,1)))*(INDEX('Исходные кривые'!$B$5:$L$5,1,MATCH(G77,'Исходные кривые'!$B$4:$L$4,1)+1)-INDEX('Исходные кривые'!$B$5:$L$5,1,MATCH(G77,'Исходные кривые'!$B$4:$L$4,1)))/(INDEX('Исходные кривые'!$B$4:$L$4,1,MATCH(G77,'Исходные кривые'!$B$4:$L$4,1)+1)-INDEX('Исходные кривые'!$B$4:$L$4,1,MATCH(G77,'Исходные кривые'!$B$4:$L$4,1)))))</x:f>
        <x:v>15.702301369863013</x:v>
      </x:c>
      <x:c r="I77" s="177" t="n">
        <x:f>IF(G77&lt;=MIN('Исходные кривые'!$B$8:$N$8),INDEX('Исходные кривые'!$B$9:$N$9,1,1),IF(G77&gt;=MAX('Исходные кривые'!$B$8:$N$8),INDEX('Исходные кривые'!$B$9:$N$9,1,COLUMNS('Исходные кривые'!$B$9:$N$9)),INDEX('Исходные кривые'!$B$9:$N$9,1,MATCH(G77,'Исходные кривые'!$B$8:$N$8,1))+(G77-INDEX('Исходные кривые'!$B$8:$N$8,1,MATCH(G77,'Исходные кривые'!$B$8:$N$8,1)))*(INDEX('Исходные кривые'!$B$9:$N$9,1,MATCH(G77,'Исходные кривые'!$B$8:$N$8,1)+1)-INDEX('Исходные кривые'!$B$9:$N$9,1,MATCH(G77,'Исходные кривые'!$B$8:$N$8,1)))/(INDEX('Исходные кривые'!$B$8:$N$8,1,MATCH(G77,'Исходные кривые'!$B$8:$N$8,1)+1)-INDEX('Исходные кривые'!$B$8:$N$8,1,MATCH(G77,'Исходные кривые'!$B$8:$N$8,1)))))</x:f>
        <x:v>17.702301369863015</x:v>
      </x:c>
      <x:c r="J77" s="177" t="n">
        <x:f>IF(G77&lt;=MIN('Исходные кривые'!$B$12:$K$12),INDEX('Исходные кривые'!$B$13:$K$13,1,1),IF(G77&gt;=MAX('Исходные кривые'!$B$12:$K$12),INDEX('Исходные кривые'!$B$13:$K$13,1,COLUMNS('Исходные кривые'!$B$13:$K$13)),INDEX('Исходные кривые'!$B$13:$K$13,1,MATCH(G77,'Исходные кривые'!$B$12:$K$12,1))+(G77-INDEX('Исходные кривые'!$B$12:$K$12,1,MATCH(G77,'Исходные кривые'!$B$12:$K$12,1)))*(INDEX('Исходные кривые'!$B$13:$K$13,1,MATCH(G77,'Исходные кривые'!$B$12:$K$12,1)+1)-INDEX('Исходные кривые'!$B$13:$K$13,1,MATCH(G77,'Исходные кривые'!$B$12:$K$12,1)))/(INDEX('Исходные кривые'!$B$12:$K$12,1,MATCH(G77,'Исходные кривые'!$B$12:$K$12,1)+1)-INDEX('Исходные кривые'!$B$12:$K$12,1,MATCH(G77,'Исходные кривые'!$B$12:$K$12,1)))))</x:f>
        <x:v>44.97534246575342</x:v>
      </x:c>
      <x:c r="K77" s="177" t="n">
        <x:f>IF(G77&lt;=MIN('Исходные кривые'!$B$12:$K$12),INDEX('Исходные кривые'!$B$14:$K$14,1,1),IF(G77&gt;=MAX('Исходные кривые'!$B$12:$K$12),INDEX('Исходные кривые'!$B$14:$K$14,1,COLUMNS('Исходные кривые'!$B$14:$K$14)),INDEX('Исходные кривые'!$B$14:$K$14,1,MATCH(G77,'Исходные кривые'!$B$12:$K$12,1))+(G77-INDEX('Исходные кривые'!$B$12:$K$12,1,MATCH(G77,'Исходные кривые'!$B$12:$K$12,1)))*(INDEX('Исходные кривые'!$B$14:$K$14,1,MATCH(G77,'Исходные кривые'!$B$12:$K$12,1)+1)-INDEX('Исходные кривые'!$B$14:$K$14,1,MATCH(G77,'Исходные кривые'!$B$12:$K$12,1)))/(INDEX('Исходные кривые'!$B$12:$K$12,1,MATCH(G77,'Исходные кривые'!$B$12:$K$12,1)+1)-INDEX('Исходные кривые'!$B$12:$K$12,1,MATCH(G77,'Исходные кривые'!$B$12:$K$12,1)))))</x:f>
        <x:v>-26.495890410958904</x:v>
      </x:c>
      <x:c r="L77" s="177" t="n">
        <x:f>IF(G77&lt;=MIN('Исходные кривые'!$B$17:$L$17),INDEX('Исходные кривые'!$B$18:$L$18,1,1),IF(G77&gt;=MAX('Исходные кривые'!$B$17:$L$17),INDEX('Исходные кривые'!$B$18:$L$18,1,COLUMNS('Исходные кривые'!$B$18:$L$18)),INDEX('Исходные кривые'!$B$18:$L$18,1,MATCH(G77,'Исходные кривые'!$B$17:$L$17,1))+(G77-INDEX('Исходные кривые'!$B$17:$L$17,1,MATCH(G77,'Исходные кривые'!$B$17:$L$17,1)))*(INDEX('Исходные кривые'!$B$18:$L$18,1,MATCH(G77,'Исходные кривые'!$B$17:$L$17,1)+1)-INDEX('Исходные кривые'!$B$18:$L$18,1,MATCH(G77,'Исходные кривые'!$B$17:$L$17,1)))/(INDEX('Исходные кривые'!$B$17:$L$17,1,MATCH(G77,'Исходные кривые'!$B$17:$L$17,1)+1)-INDEX('Исходные кривые'!$B$17:$L$17,1,MATCH(G77,'Исходные кривые'!$B$17:$L$17,1)))))</x:f>
        <x:v>5.4</x:v>
      </x:c>
      <x:c r="M77" s="177" t="n">
        <x:f>IF(G77&lt;=MIN('Исходные кривые'!$B$17:$L$17),INDEX('Исходные кривые'!$B$19:$L$19,1,1),IF(G77&gt;=MAX('Исходные кривые'!$B$17:$L$17),INDEX('Исходные кривые'!$B$19:$L$19,1,COLUMNS('Исходные кривые'!$B$19:$L$19)),INDEX('Исходные кривые'!$B$19:$L$19,1,MATCH(G77,'Исходные кривые'!$B$17:$L$17,1))+(G77-INDEX('Исходные кривые'!$B$17:$L$17,1,MATCH(G77,'Исходные кривые'!$B$17:$L$17,1)))*(INDEX('Исходные кривые'!$B$19:$L$19,1,MATCH(G77,'Исходные кривые'!$B$17:$L$17,1)+1)-INDEX('Исходные кривые'!$B$19:$L$19,1,MATCH(G77,'Исходные кривые'!$B$17:$L$17,1)))/(INDEX('Исходные кривые'!$B$17:$L$17,1,MATCH(G77,'Исходные кривые'!$B$17:$L$17,1)+1)-INDEX('Исходные кривые'!$B$17:$L$17,1,MATCH(G77,'Исходные кривые'!$B$17:$L$17,1)))))</x:f>
        <x:v>-1.9</x:v>
      </x:c>
    </x:row>
    <x:row r="78">
      <x:c r="A78" s="131" t="str">
        <x:v>Своп 4</x:v>
      </x:c>
      <x:c r="B78" s="132" t="n">
        <x:v>47665</x:v>
      </x:c>
      <x:c r="C78" s="132" t="n">
        <x:v>49491</x:v>
      </x:c>
      <x:c r="D78" s="131" t="n">
        <x:v>9</x:v>
      </x:c>
      <x:c r="E78" s="132" t="n">
        <x:v>48488</x:v>
      </x:c>
      <x:c r="F78" s="176" t="n">
        <x:f>E78-'Настройки'!$B$4</x:f>
        <x:v>2285</x:v>
      </x:c>
      <x:c r="G78" s="177" t="n">
        <x:f>F78/'Настройки'!$B$5</x:f>
        <x:v>6.260273972602739</x:v>
      </x:c>
      <x:c r="H78" s="177" t="n">
        <x:f>IF(G78&lt;=MIN('Исходные кривые'!$B$4:$L$4),INDEX('Исходные кривые'!$B$5:$L$5,1,1),IF(G78&gt;=MAX('Исходные кривые'!$B$4:$L$4),INDEX('Исходные кривые'!$B$5:$L$5,1,COLUMNS('Исходные кривые'!$B$5:$L$5)),INDEX('Исходные кривые'!$B$5:$L$5,1,MATCH(G78,'Исходные кривые'!$B$4:$L$4,1))+(G78-INDEX('Исходные кривые'!$B$4:$L$4,1,MATCH(G78,'Исходные кривые'!$B$4:$L$4,1)))*(INDEX('Исходные кривые'!$B$5:$L$5,1,MATCH(G78,'Исходные кривые'!$B$4:$L$4,1)+1)-INDEX('Исходные кривые'!$B$5:$L$5,1,MATCH(G78,'Исходные кривые'!$B$4:$L$4,1)))/(INDEX('Исходные кривые'!$B$4:$L$4,1,MATCH(G78,'Исходные кривые'!$B$4:$L$4,1)+1)-INDEX('Исходные кривые'!$B$4:$L$4,1,MATCH(G78,'Исходные кривые'!$B$4:$L$4,1)))))</x:f>
        <x:v>15.772876712328767</x:v>
      </x:c>
      <x:c r="I78" s="177" t="n">
        <x:f>IF(G78&lt;=MIN('Исходные кривые'!$B$8:$N$8),INDEX('Исходные кривые'!$B$9:$N$9,1,1),IF(G78&gt;=MAX('Исходные кривые'!$B$8:$N$8),INDEX('Исходные кривые'!$B$9:$N$9,1,COLUMNS('Исходные кривые'!$B$9:$N$9)),INDEX('Исходные кривые'!$B$9:$N$9,1,MATCH(G78,'Исходные кривые'!$B$8:$N$8,1))+(G78-INDEX('Исходные кривые'!$B$8:$N$8,1,MATCH(G78,'Исходные кривые'!$B$8:$N$8,1)))*(INDEX('Исходные кривые'!$B$9:$N$9,1,MATCH(G78,'Исходные кривые'!$B$8:$N$8,1)+1)-INDEX('Исходные кривые'!$B$9:$N$9,1,MATCH(G78,'Исходные кривые'!$B$8:$N$8,1)))/(INDEX('Исходные кривые'!$B$8:$N$8,1,MATCH(G78,'Исходные кривые'!$B$8:$N$8,1)+1)-INDEX('Исходные кривые'!$B$8:$N$8,1,MATCH(G78,'Исходные кривые'!$B$8:$N$8,1)))))</x:f>
        <x:v>17.772876712328767</x:v>
      </x:c>
      <x:c r="J78" s="177" t="n">
        <x:f>IF(G78&lt;=MIN('Исходные кривые'!$B$12:$K$12),INDEX('Исходные кривые'!$B$13:$K$13,1,1),IF(G78&gt;=MAX('Исходные кривые'!$B$12:$K$12),INDEX('Исходные кривые'!$B$13:$K$13,1,COLUMNS('Исходные кривые'!$B$13:$K$13)),INDEX('Исходные кривые'!$B$13:$K$13,1,MATCH(G78,'Исходные кривые'!$B$12:$K$12,1))+(G78-INDEX('Исходные кривые'!$B$12:$K$12,1,MATCH(G78,'Исходные кривые'!$B$12:$K$12,1)))*(INDEX('Исходные кривые'!$B$13:$K$13,1,MATCH(G78,'Исходные кривые'!$B$12:$K$12,1)+1)-INDEX('Исходные кривые'!$B$13:$K$13,1,MATCH(G78,'Исходные кривые'!$B$12:$K$12,1)))/(INDEX('Исходные кривые'!$B$12:$K$12,1,MATCH(G78,'Исходные кривые'!$B$12:$K$12,1)+1)-INDEX('Исходные кривые'!$B$12:$K$12,1,MATCH(G78,'Исходные кривые'!$B$12:$K$12,1)))))</x:f>
        <x:v>44.21917808219178</x:v>
      </x:c>
      <x:c r="K78" s="177" t="n">
        <x:f>IF(G78&lt;=MIN('Исходные кривые'!$B$12:$K$12),INDEX('Исходные кривые'!$B$14:$K$14,1,1),IF(G78&gt;=MAX('Исходные кривые'!$B$12:$K$12),INDEX('Исходные кривые'!$B$14:$K$14,1,COLUMNS('Исходные кривые'!$B$14:$K$14)),INDEX('Исходные кривые'!$B$14:$K$14,1,MATCH(G78,'Исходные кривые'!$B$12:$K$12,1))+(G78-INDEX('Исходные кривые'!$B$12:$K$12,1,MATCH(G78,'Исходные кривые'!$B$12:$K$12,1)))*(INDEX('Исходные кривые'!$B$14:$K$14,1,MATCH(G78,'Исходные кривые'!$B$12:$K$12,1)+1)-INDEX('Исходные кривые'!$B$14:$K$14,1,MATCH(G78,'Исходные кривые'!$B$12:$K$12,1)))/(INDEX('Исходные кривые'!$B$12:$K$12,1,MATCH(G78,'Исходные кривые'!$B$12:$K$12,1)+1)-INDEX('Исходные кривые'!$B$12:$K$12,1,MATCH(G78,'Исходные кривые'!$B$12:$K$12,1)))))</x:f>
        <x:v>-26.36986301369863</x:v>
      </x:c>
      <x:c r="L78" s="177" t="n">
        <x:f>IF(G78&lt;=MIN('Исходные кривые'!$B$17:$L$17),INDEX('Исходные кривые'!$B$18:$L$18,1,1),IF(G78&gt;=MAX('Исходные кривые'!$B$17:$L$17),INDEX('Исходные кривые'!$B$18:$L$18,1,COLUMNS('Исходные кривые'!$B$18:$L$18)),INDEX('Исходные кривые'!$B$18:$L$18,1,MATCH(G78,'Исходные кривые'!$B$17:$L$17,1))+(G78-INDEX('Исходные кривые'!$B$17:$L$17,1,MATCH(G78,'Исходные кривые'!$B$17:$L$17,1)))*(INDEX('Исходные кривые'!$B$18:$L$18,1,MATCH(G78,'Исходные кривые'!$B$17:$L$17,1)+1)-INDEX('Исходные кривые'!$B$18:$L$18,1,MATCH(G78,'Исходные кривые'!$B$17:$L$17,1)))/(INDEX('Исходные кривые'!$B$17:$L$17,1,MATCH(G78,'Исходные кривые'!$B$17:$L$17,1)+1)-INDEX('Исходные кривые'!$B$17:$L$17,1,MATCH(G78,'Исходные кривые'!$B$17:$L$17,1)))))</x:f>
        <x:v>5.4</x:v>
      </x:c>
      <x:c r="M78" s="177" t="n">
        <x:f>IF(G78&lt;=MIN('Исходные кривые'!$B$17:$L$17),INDEX('Исходные кривые'!$B$19:$L$19,1,1),IF(G78&gt;=MAX('Исходные кривые'!$B$17:$L$17),INDEX('Исходные кривые'!$B$19:$L$19,1,COLUMNS('Исходные кривые'!$B$19:$L$19)),INDEX('Исходные кривые'!$B$19:$L$19,1,MATCH(G78,'Исходные кривые'!$B$17:$L$17,1))+(G78-INDEX('Исходные кривые'!$B$17:$L$17,1,MATCH(G78,'Исходные кривые'!$B$17:$L$17,1)))*(INDEX('Исходные кривые'!$B$19:$L$19,1,MATCH(G78,'Исходные кривые'!$B$17:$L$17,1)+1)-INDEX('Исходные кривые'!$B$19:$L$19,1,MATCH(G78,'Исходные кривые'!$B$17:$L$17,1)))/(INDEX('Исходные кривые'!$B$17:$L$17,1,MATCH(G78,'Исходные кривые'!$B$17:$L$17,1)+1)-INDEX('Исходные кривые'!$B$17:$L$17,1,MATCH(G78,'Исходные кривые'!$B$17:$L$17,1)))))</x:f>
        <x:v>-1.9</x:v>
      </x:c>
    </x:row>
    <x:row r="79">
      <x:c r="A79" s="131" t="str">
        <x:v>Своп 4</x:v>
      </x:c>
      <x:c r="B79" s="132" t="n">
        <x:v>47665</x:v>
      </x:c>
      <x:c r="C79" s="132" t="n">
        <x:v>49491</x:v>
      </x:c>
      <x:c r="D79" s="131" t="n">
        <x:v>10</x:v>
      </x:c>
      <x:c r="E79" s="132" t="n">
        <x:v>48580</x:v>
      </x:c>
      <x:c r="F79" s="176" t="n">
        <x:f>E79-'Настройки'!$B$4</x:f>
        <x:v>2377</x:v>
      </x:c>
      <x:c r="G79" s="177" t="n">
        <x:f>F79/'Настройки'!$B$5</x:f>
        <x:v>6.512328767123288</x:v>
      </x:c>
      <x:c r="H79" s="177" t="n">
        <x:f>IF(G79&lt;=MIN('Исходные кривые'!$B$4:$L$4),INDEX('Исходные кривые'!$B$5:$L$5,1,1),IF(G79&gt;=MAX('Исходные кривые'!$B$4:$L$4),INDEX('Исходные кривые'!$B$5:$L$5,1,COLUMNS('Исходные кривые'!$B$5:$L$5)),INDEX('Исходные кривые'!$B$5:$L$5,1,MATCH(G79,'Исходные кривые'!$B$4:$L$4,1))+(G79-INDEX('Исходные кривые'!$B$4:$L$4,1,MATCH(G79,'Исходные кривые'!$B$4:$L$4,1)))*(INDEX('Исходные кривые'!$B$5:$L$5,1,MATCH(G79,'Исходные кривые'!$B$4:$L$4,1)+1)-INDEX('Исходные кривые'!$B$5:$L$5,1,MATCH(G79,'Исходные кривые'!$B$4:$L$4,1)))/(INDEX('Исходные кривые'!$B$4:$L$4,1,MATCH(G79,'Исходные кривые'!$B$4:$L$4,1)+1)-INDEX('Исходные кривые'!$B$4:$L$4,1,MATCH(G79,'Исходные кривые'!$B$4:$L$4,1)))))</x:f>
        <x:v>15.84345205479452</x:v>
      </x:c>
      <x:c r="I79" s="177" t="n">
        <x:f>IF(G79&lt;=MIN('Исходные кривые'!$B$8:$N$8),INDEX('Исходные кривые'!$B$9:$N$9,1,1),IF(G79&gt;=MAX('Исходные кривые'!$B$8:$N$8),INDEX('Исходные кривые'!$B$9:$N$9,1,COLUMNS('Исходные кривые'!$B$9:$N$9)),INDEX('Исходные кривые'!$B$9:$N$9,1,MATCH(G79,'Исходные кривые'!$B$8:$N$8,1))+(G79-INDEX('Исходные кривые'!$B$8:$N$8,1,MATCH(G79,'Исходные кривые'!$B$8:$N$8,1)))*(INDEX('Исходные кривые'!$B$9:$N$9,1,MATCH(G79,'Исходные кривые'!$B$8:$N$8,1)+1)-INDEX('Исходные кривые'!$B$9:$N$9,1,MATCH(G79,'Исходные кривые'!$B$8:$N$8,1)))/(INDEX('Исходные кривые'!$B$8:$N$8,1,MATCH(G79,'Исходные кривые'!$B$8:$N$8,1)+1)-INDEX('Исходные кривые'!$B$8:$N$8,1,MATCH(G79,'Исходные кривые'!$B$8:$N$8,1)))))</x:f>
        <x:v>17.843452054794522</x:v>
      </x:c>
      <x:c r="J79" s="177" t="n">
        <x:f>IF(G79&lt;=MIN('Исходные кривые'!$B$12:$K$12),INDEX('Исходные кривые'!$B$13:$K$13,1,1),IF(G79&gt;=MAX('Исходные кривые'!$B$12:$K$12),INDEX('Исходные кривые'!$B$13:$K$13,1,COLUMNS('Исходные кривые'!$B$13:$K$13)),INDEX('Исходные кривые'!$B$13:$K$13,1,MATCH(G79,'Исходные кривые'!$B$12:$K$12,1))+(G79-INDEX('Исходные кривые'!$B$12:$K$12,1,MATCH(G79,'Исходные кривые'!$B$12:$K$12,1)))*(INDEX('Исходные кривые'!$B$13:$K$13,1,MATCH(G79,'Исходные кривые'!$B$12:$K$12,1)+1)-INDEX('Исходные кривые'!$B$13:$K$13,1,MATCH(G79,'Исходные кривые'!$B$12:$K$12,1)))/(INDEX('Исходные кривые'!$B$12:$K$12,1,MATCH(G79,'Исходные кривые'!$B$12:$K$12,1)+1)-INDEX('Исходные кривые'!$B$12:$K$12,1,MATCH(G79,'Исходные кривые'!$B$12:$K$12,1)))))</x:f>
        <x:v>43.463013698630135</x:v>
      </x:c>
      <x:c r="K79" s="177" t="n">
        <x:f>IF(G79&lt;=MIN('Исходные кривые'!$B$12:$K$12),INDEX('Исходные кривые'!$B$14:$K$14,1,1),IF(G79&gt;=MAX('Исходные кривые'!$B$12:$K$12),INDEX('Исходные кривые'!$B$14:$K$14,1,COLUMNS('Исходные кривые'!$B$14:$K$14)),INDEX('Исходные кривые'!$B$14:$K$14,1,MATCH(G79,'Исходные кривые'!$B$12:$K$12,1))+(G79-INDEX('Исходные кривые'!$B$12:$K$12,1,MATCH(G79,'Исходные кривые'!$B$12:$K$12,1)))*(INDEX('Исходные кривые'!$B$14:$K$14,1,MATCH(G79,'Исходные кривые'!$B$12:$K$12,1)+1)-INDEX('Исходные кривые'!$B$14:$K$14,1,MATCH(G79,'Исходные кривые'!$B$12:$K$12,1)))/(INDEX('Исходные кривые'!$B$12:$K$12,1,MATCH(G79,'Исходные кривые'!$B$12:$K$12,1)+1)-INDEX('Исходные кривые'!$B$12:$K$12,1,MATCH(G79,'Исходные кривые'!$B$12:$K$12,1)))))</x:f>
        <x:v>-26.243835616438357</x:v>
      </x:c>
      <x:c r="L79" s="177" t="n">
        <x:f>IF(G79&lt;=MIN('Исходные кривые'!$B$17:$L$17),INDEX('Исходные кривые'!$B$18:$L$18,1,1),IF(G79&gt;=MAX('Исходные кривые'!$B$17:$L$17),INDEX('Исходные кривые'!$B$18:$L$18,1,COLUMNS('Исходные кривые'!$B$18:$L$18)),INDEX('Исходные кривые'!$B$18:$L$18,1,MATCH(G79,'Исходные кривые'!$B$17:$L$17,1))+(G79-INDEX('Исходные кривые'!$B$17:$L$17,1,MATCH(G79,'Исходные кривые'!$B$17:$L$17,1)))*(INDEX('Исходные кривые'!$B$18:$L$18,1,MATCH(G79,'Исходные кривые'!$B$17:$L$17,1)+1)-INDEX('Исходные кривые'!$B$18:$L$18,1,MATCH(G79,'Исходные кривые'!$B$17:$L$17,1)))/(INDEX('Исходные кривые'!$B$17:$L$17,1,MATCH(G79,'Исходные кривые'!$B$17:$L$17,1)+1)-INDEX('Исходные кривые'!$B$17:$L$17,1,MATCH(G79,'Исходные кривые'!$B$17:$L$17,1)))))</x:f>
        <x:v>5.4</x:v>
      </x:c>
      <x:c r="M79" s="177" t="n">
        <x:f>IF(G79&lt;=MIN('Исходные кривые'!$B$17:$L$17),INDEX('Исходные кривые'!$B$19:$L$19,1,1),IF(G79&gt;=MAX('Исходные кривые'!$B$17:$L$17),INDEX('Исходные кривые'!$B$19:$L$19,1,COLUMNS('Исходные кривые'!$B$19:$L$19)),INDEX('Исходные кривые'!$B$19:$L$19,1,MATCH(G79,'Исходные кривые'!$B$17:$L$17,1))+(G79-INDEX('Исходные кривые'!$B$17:$L$17,1,MATCH(G79,'Исходные кривые'!$B$17:$L$17,1)))*(INDEX('Исходные кривые'!$B$19:$L$19,1,MATCH(G79,'Исходные кривые'!$B$17:$L$17,1)+1)-INDEX('Исходные кривые'!$B$19:$L$19,1,MATCH(G79,'Исходные кривые'!$B$17:$L$17,1)))/(INDEX('Исходные кривые'!$B$17:$L$17,1,MATCH(G79,'Исходные кривые'!$B$17:$L$17,1)+1)-INDEX('Исходные кривые'!$B$17:$L$17,1,MATCH(G79,'Исходные кривые'!$B$17:$L$17,1)))))</x:f>
        <x:v>-1.9</x:v>
      </x:c>
    </x:row>
    <x:row r="80">
      <x:c r="A80" s="131" t="str">
        <x:v>Своп 4</x:v>
      </x:c>
      <x:c r="B80" s="132" t="n">
        <x:v>47665</x:v>
      </x:c>
      <x:c r="C80" s="132" t="n">
        <x:v>49491</x:v>
      </x:c>
      <x:c r="D80" s="131" t="n">
        <x:v>11</x:v>
      </x:c>
      <x:c r="E80" s="132" t="n">
        <x:v>48670</x:v>
      </x:c>
      <x:c r="F80" s="176" t="n">
        <x:f>E80-'Настройки'!$B$4</x:f>
        <x:v>2467</x:v>
      </x:c>
      <x:c r="G80" s="177" t="n">
        <x:f>F80/'Настройки'!$B$5</x:f>
        <x:v>6.758904109589041</x:v>
      </x:c>
      <x:c r="H80" s="177" t="n">
        <x:f>IF(G80&lt;=MIN('Исходные кривые'!$B$4:$L$4),INDEX('Исходные кривые'!$B$5:$L$5,1,1),IF(G80&gt;=MAX('Исходные кривые'!$B$4:$L$4),INDEX('Исходные кривые'!$B$5:$L$5,1,COLUMNS('Исходные кривые'!$B$5:$L$5)),INDEX('Исходные кривые'!$B$5:$L$5,1,MATCH(G80,'Исходные кривые'!$B$4:$L$4,1))+(G80-INDEX('Исходные кривые'!$B$4:$L$4,1,MATCH(G80,'Исходные кривые'!$B$4:$L$4,1)))*(INDEX('Исходные кривые'!$B$5:$L$5,1,MATCH(G80,'Исходные кривые'!$B$4:$L$4,1)+1)-INDEX('Исходные кривые'!$B$5:$L$5,1,MATCH(G80,'Исходные кривые'!$B$4:$L$4,1)))/(INDEX('Исходные кривые'!$B$4:$L$4,1,MATCH(G80,'Исходные кривые'!$B$4:$L$4,1)+1)-INDEX('Исходные кривые'!$B$4:$L$4,1,MATCH(G80,'Исходные кривые'!$B$4:$L$4,1)))))</x:f>
        <x:v>15.912493150684933</x:v>
      </x:c>
      <x:c r="I80" s="177" t="n">
        <x:f>IF(G80&lt;=MIN('Исходные кривые'!$B$8:$N$8),INDEX('Исходные кривые'!$B$9:$N$9,1,1),IF(G80&gt;=MAX('Исходные кривые'!$B$8:$N$8),INDEX('Исходные кривые'!$B$9:$N$9,1,COLUMNS('Исходные кривые'!$B$9:$N$9)),INDEX('Исходные кривые'!$B$9:$N$9,1,MATCH(G80,'Исходные кривые'!$B$8:$N$8,1))+(G80-INDEX('Исходные кривые'!$B$8:$N$8,1,MATCH(G80,'Исходные кривые'!$B$8:$N$8,1)))*(INDEX('Исходные кривые'!$B$9:$N$9,1,MATCH(G80,'Исходные кривые'!$B$8:$N$8,1)+1)-INDEX('Исходные кривые'!$B$9:$N$9,1,MATCH(G80,'Исходные кривые'!$B$8:$N$8,1)))/(INDEX('Исходные кривые'!$B$8:$N$8,1,MATCH(G80,'Исходные кривые'!$B$8:$N$8,1)+1)-INDEX('Исходные кривые'!$B$8:$N$8,1,MATCH(G80,'Исходные кривые'!$B$8:$N$8,1)))))</x:f>
        <x:v>17.91249315068493</x:v>
      </x:c>
      <x:c r="J80" s="177" t="n">
        <x:f>IF(G80&lt;=MIN('Исходные кривые'!$B$12:$K$12),INDEX('Исходные кривые'!$B$13:$K$13,1,1),IF(G80&gt;=MAX('Исходные кривые'!$B$12:$K$12),INDEX('Исходные кривые'!$B$13:$K$13,1,COLUMNS('Исходные кривые'!$B$13:$K$13)),INDEX('Исходные кривые'!$B$13:$K$13,1,MATCH(G80,'Исходные кривые'!$B$12:$K$12,1))+(G80-INDEX('Исходные кривые'!$B$12:$K$12,1,MATCH(G80,'Исходные кривые'!$B$12:$K$12,1)))*(INDEX('Исходные кривые'!$B$13:$K$13,1,MATCH(G80,'Исходные кривые'!$B$12:$K$12,1)+1)-INDEX('Исходные кривые'!$B$13:$K$13,1,MATCH(G80,'Исходные кривые'!$B$12:$K$12,1)))/(INDEX('Исходные кривые'!$B$12:$K$12,1,MATCH(G80,'Исходные кривые'!$B$12:$K$12,1)+1)-INDEX('Исходные кривые'!$B$12:$K$12,1,MATCH(G80,'Исходные кривые'!$B$12:$K$12,1)))))</x:f>
        <x:v>42.723287671232875</x:v>
      </x:c>
      <x:c r="K80" s="177" t="n">
        <x:f>IF(G80&lt;=MIN('Исходные кривые'!$B$12:$K$12),INDEX('Исходные кривые'!$B$14:$K$14,1,1),IF(G80&gt;=MAX('Исходные кривые'!$B$12:$K$12),INDEX('Исходные кривые'!$B$14:$K$14,1,COLUMNS('Исходные кривые'!$B$14:$K$14)),INDEX('Исходные кривые'!$B$14:$K$14,1,MATCH(G80,'Исходные кривые'!$B$12:$K$12,1))+(G80-INDEX('Исходные кривые'!$B$12:$K$12,1,MATCH(G80,'Исходные кривые'!$B$12:$K$12,1)))*(INDEX('Исходные кривые'!$B$14:$K$14,1,MATCH(G80,'Исходные кривые'!$B$12:$K$12,1)+1)-INDEX('Исходные кривые'!$B$14:$K$14,1,MATCH(G80,'Исходные кривые'!$B$12:$K$12,1)))/(INDEX('Исходные кривые'!$B$12:$K$12,1,MATCH(G80,'Исходные кривые'!$B$12:$K$12,1)+1)-INDEX('Исходные кривые'!$B$12:$K$12,1,MATCH(G80,'Исходные кривые'!$B$12:$K$12,1)))))</x:f>
        <x:v>-26.12054794520548</x:v>
      </x:c>
      <x:c r="L80" s="177" t="n">
        <x:f>IF(G80&lt;=MIN('Исходные кривые'!$B$17:$L$17),INDEX('Исходные кривые'!$B$18:$L$18,1,1),IF(G80&gt;=MAX('Исходные кривые'!$B$17:$L$17),INDEX('Исходные кривые'!$B$18:$L$18,1,COLUMNS('Исходные кривые'!$B$18:$L$18)),INDEX('Исходные кривые'!$B$18:$L$18,1,MATCH(G80,'Исходные кривые'!$B$17:$L$17,1))+(G80-INDEX('Исходные кривые'!$B$17:$L$17,1,MATCH(G80,'Исходные кривые'!$B$17:$L$17,1)))*(INDEX('Исходные кривые'!$B$18:$L$18,1,MATCH(G80,'Исходные кривые'!$B$17:$L$17,1)+1)-INDEX('Исходные кривые'!$B$18:$L$18,1,MATCH(G80,'Исходные кривые'!$B$17:$L$17,1)))/(INDEX('Исходные кривые'!$B$17:$L$17,1,MATCH(G80,'Исходные кривые'!$B$17:$L$17,1)+1)-INDEX('Исходные кривые'!$B$17:$L$17,1,MATCH(G80,'Исходные кривые'!$B$17:$L$17,1)))))</x:f>
        <x:v>5.4</x:v>
      </x:c>
      <x:c r="M80" s="177" t="n">
        <x:f>IF(G80&lt;=MIN('Исходные кривые'!$B$17:$L$17),INDEX('Исходные кривые'!$B$19:$L$19,1,1),IF(G80&gt;=MAX('Исходные кривые'!$B$17:$L$17),INDEX('Исходные кривые'!$B$19:$L$19,1,COLUMNS('Исходные кривые'!$B$19:$L$19)),INDEX('Исходные кривые'!$B$19:$L$19,1,MATCH(G80,'Исходные кривые'!$B$17:$L$17,1))+(G80-INDEX('Исходные кривые'!$B$17:$L$17,1,MATCH(G80,'Исходные кривые'!$B$17:$L$17,1)))*(INDEX('Исходные кривые'!$B$19:$L$19,1,MATCH(G80,'Исходные кривые'!$B$17:$L$17,1)+1)-INDEX('Исходные кривые'!$B$19:$L$19,1,MATCH(G80,'Исходные кривые'!$B$17:$L$17,1)))/(INDEX('Исходные кривые'!$B$17:$L$17,1,MATCH(G80,'Исходные кривые'!$B$17:$L$17,1)+1)-INDEX('Исходные кривые'!$B$17:$L$17,1,MATCH(G80,'Исходные кривые'!$B$17:$L$17,1)))))</x:f>
        <x:v>-1.9</x:v>
      </x:c>
    </x:row>
    <x:row r="81">
      <x:c r="A81" s="131" t="str">
        <x:v>Своп 4</x:v>
      </x:c>
      <x:c r="B81" s="132" t="n">
        <x:v>47665</x:v>
      </x:c>
      <x:c r="C81" s="132" t="n">
        <x:v>49491</x:v>
      </x:c>
      <x:c r="D81" s="131" t="n">
        <x:v>12</x:v>
      </x:c>
      <x:c r="E81" s="132" t="n">
        <x:v>48761</x:v>
      </x:c>
      <x:c r="F81" s="176" t="n">
        <x:f>E81-'Настройки'!$B$4</x:f>
        <x:v>2558</x:v>
      </x:c>
      <x:c r="G81" s="177" t="n">
        <x:f>F81/'Настройки'!$B$5</x:f>
        <x:v>7.008219178082192</x:v>
      </x:c>
      <x:c r="H81" s="177" t="n">
        <x:f>IF(G81&lt;=MIN('Исходные кривые'!$B$4:$L$4),INDEX('Исходные кривые'!$B$5:$L$5,1,1),IF(G81&gt;=MAX('Исходные кривые'!$B$4:$L$4),INDEX('Исходные кривые'!$B$5:$L$5,1,COLUMNS('Исходные кривые'!$B$5:$L$5)),INDEX('Исходные кривые'!$B$5:$L$5,1,MATCH(G81,'Исходные кривые'!$B$4:$L$4,1))+(G81-INDEX('Исходные кривые'!$B$4:$L$4,1,MATCH(G81,'Исходные кривые'!$B$4:$L$4,1)))*(INDEX('Исходные кривые'!$B$5:$L$5,1,MATCH(G81,'Исходные кривые'!$B$4:$L$4,1)+1)-INDEX('Исходные кривые'!$B$5:$L$5,1,MATCH(G81,'Исходные кривые'!$B$4:$L$4,1)))/(INDEX('Исходные кривые'!$B$4:$L$4,1,MATCH(G81,'Исходные кривые'!$B$4:$L$4,1)+1)-INDEX('Исходные кривые'!$B$4:$L$4,1,MATCH(G81,'Исходные кривые'!$B$4:$L$4,1)))))</x:f>
        <x:v>15.981095890410959</x:v>
      </x:c>
      <x:c r="I81" s="177" t="n">
        <x:f>IF(G81&lt;=MIN('Исходные кривые'!$B$8:$N$8),INDEX('Исходные кривые'!$B$9:$N$9,1,1),IF(G81&gt;=MAX('Исходные кривые'!$B$8:$N$8),INDEX('Исходные кривые'!$B$9:$N$9,1,COLUMNS('Исходные кривые'!$B$9:$N$9)),INDEX('Исходные кривые'!$B$9:$N$9,1,MATCH(G81,'Исходные кривые'!$B$8:$N$8,1))+(G81-INDEX('Исходные кривые'!$B$8:$N$8,1,MATCH(G81,'Исходные кривые'!$B$8:$N$8,1)))*(INDEX('Исходные кривые'!$B$9:$N$9,1,MATCH(G81,'Исходные кривые'!$B$8:$N$8,1)+1)-INDEX('Исходные кривые'!$B$9:$N$9,1,MATCH(G81,'Исходные кривые'!$B$8:$N$8,1)))/(INDEX('Исходные кривые'!$B$8:$N$8,1,MATCH(G81,'Исходные кривые'!$B$8:$N$8,1)+1)-INDEX('Исходные кривые'!$B$8:$N$8,1,MATCH(G81,'Исходные кривые'!$B$8:$N$8,1)))))</x:f>
        <x:v>17.98109589041096</x:v>
      </x:c>
      <x:c r="J81" s="177" t="n">
        <x:f>IF(G81&lt;=MIN('Исходные кривые'!$B$12:$K$12),INDEX('Исходные кривые'!$B$13:$K$13,1,1),IF(G81&gt;=MAX('Исходные кривые'!$B$12:$K$12),INDEX('Исходные кривые'!$B$13:$K$13,1,COLUMNS('Исходные кривые'!$B$13:$K$13)),INDEX('Исходные кривые'!$B$13:$K$13,1,MATCH(G81,'Исходные кривые'!$B$12:$K$12,1))+(G81-INDEX('Исходные кривые'!$B$12:$K$12,1,MATCH(G81,'Исходные кривые'!$B$12:$K$12,1)))*(INDEX('Исходные кривые'!$B$13:$K$13,1,MATCH(G81,'Исходные кривые'!$B$12:$K$12,1)+1)-INDEX('Исходные кривые'!$B$13:$K$13,1,MATCH(G81,'Исходные кривые'!$B$12:$K$12,1)))/(INDEX('Исходные кривые'!$B$12:$K$12,1,MATCH(G81,'Исходные кривые'!$B$12:$K$12,1)+1)-INDEX('Исходные кривые'!$B$12:$K$12,1,MATCH(G81,'Исходные кривые'!$B$12:$K$12,1)))))</x:f>
        <x:v>41.97808219178082</x:v>
      </x:c>
      <x:c r="K81" s="177" t="n">
        <x:f>IF(G81&lt;=MIN('Исходные кривые'!$B$12:$K$12),INDEX('Исходные кривые'!$B$14:$K$14,1,1),IF(G81&gt;=MAX('Исходные кривые'!$B$12:$K$12),INDEX('Исходные кривые'!$B$14:$K$14,1,COLUMNS('Исходные кривые'!$B$14:$K$14)),INDEX('Исходные кривые'!$B$14:$K$14,1,MATCH(G81,'Исходные кривые'!$B$12:$K$12,1))+(G81-INDEX('Исходные кривые'!$B$12:$K$12,1,MATCH(G81,'Исходные кривые'!$B$12:$K$12,1)))*(INDEX('Исходные кривые'!$B$14:$K$14,1,MATCH(G81,'Исходные кривые'!$B$12:$K$12,1)+1)-INDEX('Исходные кривые'!$B$14:$K$14,1,MATCH(G81,'Исходные кривые'!$B$12:$K$12,1)))/(INDEX('Исходные кривые'!$B$12:$K$12,1,MATCH(G81,'Исходные кривые'!$B$12:$K$12,1)+1)-INDEX('Исходные кривые'!$B$12:$K$12,1,MATCH(G81,'Исходные кривые'!$B$12:$K$12,1)))))</x:f>
        <x:v>-25.994520547945207</x:v>
      </x:c>
      <x:c r="L81" s="177" t="n">
        <x:f>IF(G81&lt;=MIN('Исходные кривые'!$B$17:$L$17),INDEX('Исходные кривые'!$B$18:$L$18,1,1),IF(G81&gt;=MAX('Исходные кривые'!$B$17:$L$17),INDEX('Исходные кривые'!$B$18:$L$18,1,COLUMNS('Исходные кривые'!$B$18:$L$18)),INDEX('Исходные кривые'!$B$18:$L$18,1,MATCH(G81,'Исходные кривые'!$B$17:$L$17,1))+(G81-INDEX('Исходные кривые'!$B$17:$L$17,1,MATCH(G81,'Исходные кривые'!$B$17:$L$17,1)))*(INDEX('Исходные кривые'!$B$18:$L$18,1,MATCH(G81,'Исходные кривые'!$B$17:$L$17,1)+1)-INDEX('Исходные кривые'!$B$18:$L$18,1,MATCH(G81,'Исходные кривые'!$B$17:$L$17,1)))/(INDEX('Исходные кривые'!$B$17:$L$17,1,MATCH(G81,'Исходные кривые'!$B$17:$L$17,1)+1)-INDEX('Исходные кривые'!$B$17:$L$17,1,MATCH(G81,'Исходные кривые'!$B$17:$L$17,1)))))</x:f>
        <x:v>5.4</x:v>
      </x:c>
      <x:c r="M81" s="177" t="n">
        <x:f>IF(G81&lt;=MIN('Исходные кривые'!$B$17:$L$17),INDEX('Исходные кривые'!$B$19:$L$19,1,1),IF(G81&gt;=MAX('Исходные кривые'!$B$17:$L$17),INDEX('Исходные кривые'!$B$19:$L$19,1,COLUMNS('Исходные кривые'!$B$19:$L$19)),INDEX('Исходные кривые'!$B$19:$L$19,1,MATCH(G81,'Исходные кривые'!$B$17:$L$17,1))+(G81-INDEX('Исходные кривые'!$B$17:$L$17,1,MATCH(G81,'Исходные кривые'!$B$17:$L$17,1)))*(INDEX('Исходные кривые'!$B$19:$L$19,1,MATCH(G81,'Исходные кривые'!$B$17:$L$17,1)+1)-INDEX('Исходные кривые'!$B$19:$L$19,1,MATCH(G81,'Исходные кривые'!$B$17:$L$17,1)))/(INDEX('Исходные кривые'!$B$17:$L$17,1,MATCH(G81,'Исходные кривые'!$B$17:$L$17,1)+1)-INDEX('Исходные кривые'!$B$17:$L$17,1,MATCH(G81,'Исходные кривые'!$B$17:$L$17,1)))))</x:f>
        <x:v>-1.9</x:v>
      </x:c>
    </x:row>
    <x:row r="82">
      <x:c r="A82" s="131" t="str">
        <x:v>Своп 4</x:v>
      </x:c>
      <x:c r="B82" s="132" t="n">
        <x:v>47665</x:v>
      </x:c>
      <x:c r="C82" s="132" t="n">
        <x:v>49491</x:v>
      </x:c>
      <x:c r="D82" s="131" t="n">
        <x:v>13</x:v>
      </x:c>
      <x:c r="E82" s="132" t="n">
        <x:v>48853</x:v>
      </x:c>
      <x:c r="F82" s="176" t="n">
        <x:f>E82-'Настройки'!$B$4</x:f>
        <x:v>2650</x:v>
      </x:c>
      <x:c r="G82" s="177" t="n">
        <x:f>F82/'Настройки'!$B$5</x:f>
        <x:v>7.260273972602739</x:v>
      </x:c>
      <x:c r="H82" s="177" t="n">
        <x:f>IF(G82&lt;=MIN('Исходные кривые'!$B$4:$L$4),INDEX('Исходные кривые'!$B$5:$L$5,1,1),IF(G82&gt;=MAX('Исходные кривые'!$B$4:$L$4),INDEX('Исходные кривые'!$B$5:$L$5,1,COLUMNS('Исходные кривые'!$B$5:$L$5)),INDEX('Исходные кривые'!$B$5:$L$5,1,MATCH(G82,'Исходные кривые'!$B$4:$L$4,1))+(G82-INDEX('Исходные кривые'!$B$4:$L$4,1,MATCH(G82,'Исходные кривые'!$B$4:$L$4,1)))*(INDEX('Исходные кривые'!$B$5:$L$5,1,MATCH(G82,'Исходные кривые'!$B$4:$L$4,1)+1)-INDEX('Исходные кривые'!$B$5:$L$5,1,MATCH(G82,'Исходные кривые'!$B$4:$L$4,1)))/(INDEX('Исходные кривые'!$B$4:$L$4,1,MATCH(G82,'Исходные кривые'!$B$4:$L$4,1)+1)-INDEX('Исходные кривые'!$B$4:$L$4,1,MATCH(G82,'Исходные кривые'!$B$4:$L$4,1)))))</x:f>
        <x:v>16.014703196347032</x:v>
      </x:c>
      <x:c r="I82" s="177" t="n">
        <x:f>IF(G82&lt;=MIN('Исходные кривые'!$B$8:$N$8),INDEX('Исходные кривые'!$B$9:$N$9,1,1),IF(G82&gt;=MAX('Исходные кривые'!$B$8:$N$8),INDEX('Исходные кривые'!$B$9:$N$9,1,COLUMNS('Исходные кривые'!$B$9:$N$9)),INDEX('Исходные кривые'!$B$9:$N$9,1,MATCH(G82,'Исходные кривые'!$B$8:$N$8,1))+(G82-INDEX('Исходные кривые'!$B$8:$N$8,1,MATCH(G82,'Исходные кривые'!$B$8:$N$8,1)))*(INDEX('Исходные кривые'!$B$9:$N$9,1,MATCH(G82,'Исходные кривые'!$B$8:$N$8,1)+1)-INDEX('Исходные кривые'!$B$9:$N$9,1,MATCH(G82,'Исходные кривые'!$B$8:$N$8,1)))/(INDEX('Исходные кривые'!$B$8:$N$8,1,MATCH(G82,'Исходные кривые'!$B$8:$N$8,1)+1)-INDEX('Исходные кривые'!$B$8:$N$8,1,MATCH(G82,'Исходные кривые'!$B$8:$N$8,1)))))</x:f>
        <x:v>18.014703196347032</x:v>
      </x:c>
      <x:c r="J82" s="177" t="n">
        <x:f>IF(G82&lt;=MIN('Исходные кривые'!$B$12:$K$12),INDEX('Исходные кривые'!$B$13:$K$13,1,1),IF(G82&gt;=MAX('Исходные кривые'!$B$12:$K$12),INDEX('Исходные кривые'!$B$13:$K$13,1,COLUMNS('Исходные кривые'!$B$13:$K$13)),INDEX('Исходные кривые'!$B$13:$K$13,1,MATCH(G82,'Исходные кривые'!$B$12:$K$12,1))+(G82-INDEX('Исходные кривые'!$B$12:$K$12,1,MATCH(G82,'Исходные кривые'!$B$12:$K$12,1)))*(INDEX('Исходные кривые'!$B$13:$K$13,1,MATCH(G82,'Исходные кривые'!$B$12:$K$12,1)+1)-INDEX('Исходные кривые'!$B$13:$K$13,1,MATCH(G82,'Исходные кривые'!$B$12:$K$12,1)))/(INDEX('Исходные кривые'!$B$12:$K$12,1,MATCH(G82,'Исходные кривые'!$B$12:$K$12,1)+1)-INDEX('Исходные кривые'!$B$12:$K$12,1,MATCH(G82,'Исходные кривые'!$B$12:$K$12,1)))))</x:f>
        <x:v>41.305936073059364</x:v>
      </x:c>
      <x:c r="K82" s="177" t="n">
        <x:f>IF(G82&lt;=MIN('Исходные кривые'!$B$12:$K$12),INDEX('Исходные кривые'!$B$14:$K$14,1,1),IF(G82&gt;=MAX('Исходные кривые'!$B$12:$K$12),INDEX('Исходные кривые'!$B$14:$K$14,1,COLUMNS('Исходные кривые'!$B$14:$K$14)),INDEX('Исходные кривые'!$B$14:$K$14,1,MATCH(G82,'Исходные кривые'!$B$12:$K$12,1))+(G82-INDEX('Исходные кривые'!$B$12:$K$12,1,MATCH(G82,'Исходные кривые'!$B$12:$K$12,1)))*(INDEX('Исходные кривые'!$B$14:$K$14,1,MATCH(G82,'Исходные кривые'!$B$12:$K$12,1)+1)-INDEX('Исходные кривые'!$B$14:$K$14,1,MATCH(G82,'Исходные кривые'!$B$12:$K$12,1)))/(INDEX('Исходные кривые'!$B$12:$K$12,1,MATCH(G82,'Исходные кривые'!$B$12:$K$12,1)+1)-INDEX('Исходные кривые'!$B$12:$K$12,1,MATCH(G82,'Исходные кривые'!$B$12:$K$12,1)))))</x:f>
        <x:v>-25.82648401826484</x:v>
      </x:c>
      <x:c r="L82" s="177" t="n">
        <x:f>IF(G82&lt;=MIN('Исходные кривые'!$B$17:$L$17),INDEX('Исходные кривые'!$B$18:$L$18,1,1),IF(G82&gt;=MAX('Исходные кривые'!$B$17:$L$17),INDEX('Исходные кривые'!$B$18:$L$18,1,COLUMNS('Исходные кривые'!$B$18:$L$18)),INDEX('Исходные кривые'!$B$18:$L$18,1,MATCH(G82,'Исходные кривые'!$B$17:$L$17,1))+(G82-INDEX('Исходные кривые'!$B$17:$L$17,1,MATCH(G82,'Исходные кривые'!$B$17:$L$17,1)))*(INDEX('Исходные кривые'!$B$18:$L$18,1,MATCH(G82,'Исходные кривые'!$B$17:$L$17,1)+1)-INDEX('Исходные кривые'!$B$18:$L$18,1,MATCH(G82,'Исходные кривые'!$B$17:$L$17,1)))/(INDEX('Исходные кривые'!$B$17:$L$17,1,MATCH(G82,'Исходные кривые'!$B$17:$L$17,1)+1)-INDEX('Исходные кривые'!$B$17:$L$17,1,MATCH(G82,'Исходные кривые'!$B$17:$L$17,1)))))</x:f>
        <x:v>5.4</x:v>
      </x:c>
      <x:c r="M82" s="177" t="n">
        <x:f>IF(G82&lt;=MIN('Исходные кривые'!$B$17:$L$17),INDEX('Исходные кривые'!$B$19:$L$19,1,1),IF(G82&gt;=MAX('Исходные кривые'!$B$17:$L$17),INDEX('Исходные кривые'!$B$19:$L$19,1,COLUMNS('Исходные кривые'!$B$19:$L$19)),INDEX('Исходные кривые'!$B$19:$L$19,1,MATCH(G82,'Исходные кривые'!$B$17:$L$17,1))+(G82-INDEX('Исходные кривые'!$B$17:$L$17,1,MATCH(G82,'Исходные кривые'!$B$17:$L$17,1)))*(INDEX('Исходные кривые'!$B$19:$L$19,1,MATCH(G82,'Исходные кривые'!$B$17:$L$17,1)+1)-INDEX('Исходные кривые'!$B$19:$L$19,1,MATCH(G82,'Исходные кривые'!$B$17:$L$17,1)))/(INDEX('Исходные кривые'!$B$17:$L$17,1,MATCH(G82,'Исходные кривые'!$B$17:$L$17,1)+1)-INDEX('Исходные кривые'!$B$17:$L$17,1,MATCH(G82,'Исходные кривые'!$B$17:$L$17,1)))))</x:f>
        <x:v>-1.9</x:v>
      </x:c>
    </x:row>
    <x:row r="83">
      <x:c r="A83" s="131" t="str">
        <x:v>Своп 4</x:v>
      </x:c>
      <x:c r="B83" s="132" t="n">
        <x:v>47665</x:v>
      </x:c>
      <x:c r="C83" s="132" t="n">
        <x:v>49491</x:v>
      </x:c>
      <x:c r="D83" s="131" t="n">
        <x:v>14</x:v>
      </x:c>
      <x:c r="E83" s="132" t="n">
        <x:v>48945</x:v>
      </x:c>
      <x:c r="F83" s="176" t="n">
        <x:f>E83-'Настройки'!$B$4</x:f>
        <x:v>2742</x:v>
      </x:c>
      <x:c r="G83" s="177" t="n">
        <x:f>F83/'Настройки'!$B$5</x:f>
        <x:v>7.512328767123288</x:v>
      </x:c>
      <x:c r="H83" s="177" t="n">
        <x:f>IF(G83&lt;=MIN('Исходные кривые'!$B$4:$L$4),INDEX('Исходные кривые'!$B$5:$L$5,1,1),IF(G83&gt;=MAX('Исходные кривые'!$B$4:$L$4),INDEX('Исходные кривые'!$B$5:$L$5,1,COLUMNS('Исходные кривые'!$B$5:$L$5)),INDEX('Исходные кривые'!$B$5:$L$5,1,MATCH(G83,'Исходные кривые'!$B$4:$L$4,1))+(G83-INDEX('Исходные кривые'!$B$4:$L$4,1,MATCH(G83,'Исходные кривые'!$B$4:$L$4,1)))*(INDEX('Исходные кривые'!$B$5:$L$5,1,MATCH(G83,'Исходные кривые'!$B$4:$L$4,1)+1)-INDEX('Исходные кривые'!$B$5:$L$5,1,MATCH(G83,'Исходные кривые'!$B$4:$L$4,1)))/(INDEX('Исходные кривые'!$B$4:$L$4,1,MATCH(G83,'Исходные кривые'!$B$4:$L$4,1)+1)-INDEX('Исходные кривые'!$B$4:$L$4,1,MATCH(G83,'Исходные кривые'!$B$4:$L$4,1)))))</x:f>
        <x:v>16.048310502283105</x:v>
      </x:c>
      <x:c r="I83" s="177" t="n">
        <x:f>IF(G83&lt;=MIN('Исходные кривые'!$B$8:$N$8),INDEX('Исходные кривые'!$B$9:$N$9,1,1),IF(G83&gt;=MAX('Исходные кривые'!$B$8:$N$8),INDEX('Исходные кривые'!$B$9:$N$9,1,COLUMNS('Исходные кривые'!$B$9:$N$9)),INDEX('Исходные кривые'!$B$9:$N$9,1,MATCH(G83,'Исходные кривые'!$B$8:$N$8,1))+(G83-INDEX('Исходные кривые'!$B$8:$N$8,1,MATCH(G83,'Исходные кривые'!$B$8:$N$8,1)))*(INDEX('Исходные кривые'!$B$9:$N$9,1,MATCH(G83,'Исходные кривые'!$B$8:$N$8,1)+1)-INDEX('Исходные кривые'!$B$9:$N$9,1,MATCH(G83,'Исходные кривые'!$B$8:$N$8,1)))/(INDEX('Исходные кривые'!$B$8:$N$8,1,MATCH(G83,'Исходные кривые'!$B$8:$N$8,1)+1)-INDEX('Исходные кривые'!$B$8:$N$8,1,MATCH(G83,'Исходные кривые'!$B$8:$N$8,1)))))</x:f>
        <x:v>18.048310502283105</x:v>
      </x:c>
      <x:c r="J83" s="177" t="n">
        <x:f>IF(G83&lt;=MIN('Исходные кривые'!$B$12:$K$12),INDEX('Исходные кривые'!$B$13:$K$13,1,1),IF(G83&gt;=MAX('Исходные кривые'!$B$12:$K$12),INDEX('Исходные кривые'!$B$13:$K$13,1,COLUMNS('Исходные кривые'!$B$13:$K$13)),INDEX('Исходные кривые'!$B$13:$K$13,1,MATCH(G83,'Исходные кривые'!$B$12:$K$12,1))+(G83-INDEX('Исходные кривые'!$B$12:$K$12,1,MATCH(G83,'Исходные кривые'!$B$12:$K$12,1)))*(INDEX('Исходные кривые'!$B$13:$K$13,1,MATCH(G83,'Исходные кривые'!$B$12:$K$12,1)+1)-INDEX('Исходные кривые'!$B$13:$K$13,1,MATCH(G83,'Исходные кривые'!$B$12:$K$12,1)))/(INDEX('Исходные кривые'!$B$12:$K$12,1,MATCH(G83,'Исходные кривые'!$B$12:$K$12,1)+1)-INDEX('Исходные кривые'!$B$12:$K$12,1,MATCH(G83,'Исходные кривые'!$B$12:$K$12,1)))))</x:f>
        <x:v>40.6337899543379</x:v>
      </x:c>
      <x:c r="K83" s="177" t="n">
        <x:f>IF(G83&lt;=MIN('Исходные кривые'!$B$12:$K$12),INDEX('Исходные кривые'!$B$14:$K$14,1,1),IF(G83&gt;=MAX('Исходные кривые'!$B$12:$K$12),INDEX('Исходные кривые'!$B$14:$K$14,1,COLUMNS('Исходные кривые'!$B$14:$K$14)),INDEX('Исходные кривые'!$B$14:$K$14,1,MATCH(G83,'Исходные кривые'!$B$12:$K$12,1))+(G83-INDEX('Исходные кривые'!$B$12:$K$12,1,MATCH(G83,'Исходные кривые'!$B$12:$K$12,1)))*(INDEX('Исходные кривые'!$B$14:$K$14,1,MATCH(G83,'Исходные кривые'!$B$12:$K$12,1)+1)-INDEX('Исходные кривые'!$B$14:$K$14,1,MATCH(G83,'Исходные кривые'!$B$12:$K$12,1)))/(INDEX('Исходные кривые'!$B$12:$K$12,1,MATCH(G83,'Исходные кривые'!$B$12:$K$12,1)+1)-INDEX('Исходные кривые'!$B$12:$K$12,1,MATCH(G83,'Исходные кривые'!$B$12:$K$12,1)))))</x:f>
        <x:v>-25.658447488584475</x:v>
      </x:c>
      <x:c r="L83" s="177" t="n">
        <x:f>IF(G83&lt;=MIN('Исходные кривые'!$B$17:$L$17),INDEX('Исходные кривые'!$B$18:$L$18,1,1),IF(G83&gt;=MAX('Исходные кривые'!$B$17:$L$17),INDEX('Исходные кривые'!$B$18:$L$18,1,COLUMNS('Исходные кривые'!$B$18:$L$18)),INDEX('Исходные кривые'!$B$18:$L$18,1,MATCH(G83,'Исходные кривые'!$B$17:$L$17,1))+(G83-INDEX('Исходные кривые'!$B$17:$L$17,1,MATCH(G83,'Исходные кривые'!$B$17:$L$17,1)))*(INDEX('Исходные кривые'!$B$18:$L$18,1,MATCH(G83,'Исходные кривые'!$B$17:$L$17,1)+1)-INDEX('Исходные кривые'!$B$18:$L$18,1,MATCH(G83,'Исходные кривые'!$B$17:$L$17,1)))/(INDEX('Исходные кривые'!$B$17:$L$17,1,MATCH(G83,'Исходные кривые'!$B$17:$L$17,1)+1)-INDEX('Исходные кривые'!$B$17:$L$17,1,MATCH(G83,'Исходные кривые'!$B$17:$L$17,1)))))</x:f>
        <x:v>5.4</x:v>
      </x:c>
      <x:c r="M83" s="177" t="n">
        <x:f>IF(G83&lt;=MIN('Исходные кривые'!$B$17:$L$17),INDEX('Исходные кривые'!$B$19:$L$19,1,1),IF(G83&gt;=MAX('Исходные кривые'!$B$17:$L$17),INDEX('Исходные кривые'!$B$19:$L$19,1,COLUMNS('Исходные кривые'!$B$19:$L$19)),INDEX('Исходные кривые'!$B$19:$L$19,1,MATCH(G83,'Исходные кривые'!$B$17:$L$17,1))+(G83-INDEX('Исходные кривые'!$B$17:$L$17,1,MATCH(G83,'Исходные кривые'!$B$17:$L$17,1)))*(INDEX('Исходные кривые'!$B$19:$L$19,1,MATCH(G83,'Исходные кривые'!$B$17:$L$17,1)+1)-INDEX('Исходные кривые'!$B$19:$L$19,1,MATCH(G83,'Исходные кривые'!$B$17:$L$17,1)))/(INDEX('Исходные кривые'!$B$17:$L$17,1,MATCH(G83,'Исходные кривые'!$B$17:$L$17,1)+1)-INDEX('Исходные кривые'!$B$17:$L$17,1,MATCH(G83,'Исходные кривые'!$B$17:$L$17,1)))))</x:f>
        <x:v>-1.9</x:v>
      </x:c>
    </x:row>
    <x:row r="84">
      <x:c r="A84" s="131" t="str">
        <x:v>Своп 4</x:v>
      </x:c>
      <x:c r="B84" s="132" t="n">
        <x:v>47665</x:v>
      </x:c>
      <x:c r="C84" s="132" t="n">
        <x:v>49491</x:v>
      </x:c>
      <x:c r="D84" s="131" t="n">
        <x:v>15</x:v>
      </x:c>
      <x:c r="E84" s="132" t="n">
        <x:v>49035</x:v>
      </x:c>
      <x:c r="F84" s="176" t="n">
        <x:f>E84-'Настройки'!$B$4</x:f>
        <x:v>2832</x:v>
      </x:c>
      <x:c r="G84" s="177" t="n">
        <x:f>F84/'Настройки'!$B$5</x:f>
        <x:v>7.758904109589041</x:v>
      </x:c>
      <x:c r="H84" s="177" t="n">
        <x:f>IF(G84&lt;=MIN('Исходные кривые'!$B$4:$L$4),INDEX('Исходные кривые'!$B$5:$L$5,1,1),IF(G84&gt;=MAX('Исходные кривые'!$B$4:$L$4),INDEX('Исходные кривые'!$B$5:$L$5,1,COLUMNS('Исходные кривые'!$B$5:$L$5)),INDEX('Исходные кривые'!$B$5:$L$5,1,MATCH(G84,'Исходные кривые'!$B$4:$L$4,1))+(G84-INDEX('Исходные кривые'!$B$4:$L$4,1,MATCH(G84,'Исходные кривые'!$B$4:$L$4,1)))*(INDEX('Исходные кривые'!$B$5:$L$5,1,MATCH(G84,'Исходные кривые'!$B$4:$L$4,1)+1)-INDEX('Исходные кривые'!$B$5:$L$5,1,MATCH(G84,'Исходные кривые'!$B$4:$L$4,1)))/(INDEX('Исходные кривые'!$B$4:$L$4,1,MATCH(G84,'Исходные кривые'!$B$4:$L$4,1)+1)-INDEX('Исходные кривые'!$B$4:$L$4,1,MATCH(G84,'Исходные кривые'!$B$4:$L$4,1)))))</x:f>
        <x:v>16.081187214611873</x:v>
      </x:c>
      <x:c r="I84" s="177" t="n">
        <x:f>IF(G84&lt;=MIN('Исходные кривые'!$B$8:$N$8),INDEX('Исходные кривые'!$B$9:$N$9,1,1),IF(G84&gt;=MAX('Исходные кривые'!$B$8:$N$8),INDEX('Исходные кривые'!$B$9:$N$9,1,COLUMNS('Исходные кривые'!$B$9:$N$9)),INDEX('Исходные кривые'!$B$9:$N$9,1,MATCH(G84,'Исходные кривые'!$B$8:$N$8,1))+(G84-INDEX('Исходные кривые'!$B$8:$N$8,1,MATCH(G84,'Исходные кривые'!$B$8:$N$8,1)))*(INDEX('Исходные кривые'!$B$9:$N$9,1,MATCH(G84,'Исходные кривые'!$B$8:$N$8,1)+1)-INDEX('Исходные кривые'!$B$9:$N$9,1,MATCH(G84,'Исходные кривые'!$B$8:$N$8,1)))/(INDEX('Исходные кривые'!$B$8:$N$8,1,MATCH(G84,'Исходные кривые'!$B$8:$N$8,1)+1)-INDEX('Исходные кривые'!$B$8:$N$8,1,MATCH(G84,'Исходные кривые'!$B$8:$N$8,1)))))</x:f>
        <x:v>18.081187214611873</x:v>
      </x:c>
      <x:c r="J84" s="177" t="n">
        <x:f>IF(G84&lt;=MIN('Исходные кривые'!$B$12:$K$12),INDEX('Исходные кривые'!$B$13:$K$13,1,1),IF(G84&gt;=MAX('Исходные кривые'!$B$12:$K$12),INDEX('Исходные кривые'!$B$13:$K$13,1,COLUMNS('Исходные кривые'!$B$13:$K$13)),INDEX('Исходные кривые'!$B$13:$K$13,1,MATCH(G84,'Исходные кривые'!$B$12:$K$12,1))+(G84-INDEX('Исходные кривые'!$B$12:$K$12,1,MATCH(G84,'Исходные кривые'!$B$12:$K$12,1)))*(INDEX('Исходные кривые'!$B$13:$K$13,1,MATCH(G84,'Исходные кривые'!$B$12:$K$12,1)+1)-INDEX('Исходные кривые'!$B$13:$K$13,1,MATCH(G84,'Исходные кривые'!$B$12:$K$12,1)))/(INDEX('Исходные кривые'!$B$12:$K$12,1,MATCH(G84,'Исходные кривые'!$B$12:$K$12,1)+1)-INDEX('Исходные кривые'!$B$12:$K$12,1,MATCH(G84,'Исходные кривые'!$B$12:$K$12,1)))))</x:f>
        <x:v>39.976255707762554</x:v>
      </x:c>
      <x:c r="K84" s="177" t="n">
        <x:f>IF(G84&lt;=MIN('Исходные кривые'!$B$12:$K$12),INDEX('Исходные кривые'!$B$14:$K$14,1,1),IF(G84&gt;=MAX('Исходные кривые'!$B$12:$K$12),INDEX('Исходные кривые'!$B$14:$K$14,1,COLUMNS('Исходные кривые'!$B$14:$K$14)),INDEX('Исходные кривые'!$B$14:$K$14,1,MATCH(G84,'Исходные кривые'!$B$12:$K$12,1))+(G84-INDEX('Исходные кривые'!$B$12:$K$12,1,MATCH(G84,'Исходные кривые'!$B$12:$K$12,1)))*(INDEX('Исходные кривые'!$B$14:$K$14,1,MATCH(G84,'Исходные кривые'!$B$12:$K$12,1)+1)-INDEX('Исходные кривые'!$B$14:$K$14,1,MATCH(G84,'Исходные кривые'!$B$12:$K$12,1)))/(INDEX('Исходные кривые'!$B$12:$K$12,1,MATCH(G84,'Исходные кривые'!$B$12:$K$12,1)+1)-INDEX('Исходные кривые'!$B$12:$K$12,1,MATCH(G84,'Исходные кривые'!$B$12:$K$12,1)))))</x:f>
        <x:v>-25.49406392694064</x:v>
      </x:c>
      <x:c r="L84" s="177" t="n">
        <x:f>IF(G84&lt;=MIN('Исходные кривые'!$B$17:$L$17),INDEX('Исходные кривые'!$B$18:$L$18,1,1),IF(G84&gt;=MAX('Исходные кривые'!$B$17:$L$17),INDEX('Исходные кривые'!$B$18:$L$18,1,COLUMNS('Исходные кривые'!$B$18:$L$18)),INDEX('Исходные кривые'!$B$18:$L$18,1,MATCH(G84,'Исходные кривые'!$B$17:$L$17,1))+(G84-INDEX('Исходные кривые'!$B$17:$L$17,1,MATCH(G84,'Исходные кривые'!$B$17:$L$17,1)))*(INDEX('Исходные кривые'!$B$18:$L$18,1,MATCH(G84,'Исходные кривые'!$B$17:$L$17,1)+1)-INDEX('Исходные кривые'!$B$18:$L$18,1,MATCH(G84,'Исходные кривые'!$B$17:$L$17,1)))/(INDEX('Исходные кривые'!$B$17:$L$17,1,MATCH(G84,'Исходные кривые'!$B$17:$L$17,1)+1)-INDEX('Исходные кривые'!$B$17:$L$17,1,MATCH(G84,'Исходные кривые'!$B$17:$L$17,1)))))</x:f>
        <x:v>5.4</x:v>
      </x:c>
      <x:c r="M84" s="177" t="n">
        <x:f>IF(G84&lt;=MIN('Исходные кривые'!$B$17:$L$17),INDEX('Исходные кривые'!$B$19:$L$19,1,1),IF(G84&gt;=MAX('Исходные кривые'!$B$17:$L$17),INDEX('Исходные кривые'!$B$19:$L$19,1,COLUMNS('Исходные кривые'!$B$19:$L$19)),INDEX('Исходные кривые'!$B$19:$L$19,1,MATCH(G84,'Исходные кривые'!$B$17:$L$17,1))+(G84-INDEX('Исходные кривые'!$B$17:$L$17,1,MATCH(G84,'Исходные кривые'!$B$17:$L$17,1)))*(INDEX('Исходные кривые'!$B$19:$L$19,1,MATCH(G84,'Исходные кривые'!$B$17:$L$17,1)+1)-INDEX('Исходные кривые'!$B$19:$L$19,1,MATCH(G84,'Исходные кривые'!$B$17:$L$17,1)))/(INDEX('Исходные кривые'!$B$17:$L$17,1,MATCH(G84,'Исходные кривые'!$B$17:$L$17,1)+1)-INDEX('Исходные кривые'!$B$17:$L$17,1,MATCH(G84,'Исходные кривые'!$B$17:$L$17,1)))))</x:f>
        <x:v>-1.9</x:v>
      </x:c>
    </x:row>
    <x:row r="85">
      <x:c r="A85" s="131" t="str">
        <x:v>Своп 4</x:v>
      </x:c>
      <x:c r="B85" s="132" t="n">
        <x:v>47665</x:v>
      </x:c>
      <x:c r="C85" s="132" t="n">
        <x:v>49491</x:v>
      </x:c>
      <x:c r="D85" s="131" t="n">
        <x:v>16</x:v>
      </x:c>
      <x:c r="E85" s="132" t="n">
        <x:v>49126</x:v>
      </x:c>
      <x:c r="F85" s="176" t="n">
        <x:f>E85-'Настройки'!$B$4</x:f>
        <x:v>2923</x:v>
      </x:c>
      <x:c r="G85" s="177" t="n">
        <x:f>F85/'Настройки'!$B$5</x:f>
        <x:v>8.008219178082191</x:v>
      </x:c>
      <x:c r="H85" s="177" t="n">
        <x:f>IF(G85&lt;=MIN('Исходные кривые'!$B$4:$L$4),INDEX('Исходные кривые'!$B$5:$L$5,1,1),IF(G85&gt;=MAX('Исходные кривые'!$B$4:$L$4),INDEX('Исходные кривые'!$B$5:$L$5,1,COLUMNS('Исходные кривые'!$B$5:$L$5)),INDEX('Исходные кривые'!$B$5:$L$5,1,MATCH(G85,'Исходные кривые'!$B$4:$L$4,1))+(G85-INDEX('Исходные кривые'!$B$4:$L$4,1,MATCH(G85,'Исходные кривые'!$B$4:$L$4,1)))*(INDEX('Исходные кривые'!$B$5:$L$5,1,MATCH(G85,'Исходные кривые'!$B$4:$L$4,1)+1)-INDEX('Исходные кривые'!$B$5:$L$5,1,MATCH(G85,'Исходные кривые'!$B$4:$L$4,1)))/(INDEX('Исходные кривые'!$B$4:$L$4,1,MATCH(G85,'Исходные кривые'!$B$4:$L$4,1)+1)-INDEX('Исходные кривые'!$B$4:$L$4,1,MATCH(G85,'Исходные кривые'!$B$4:$L$4,1)))))</x:f>
        <x:v>16.114429223744292</x:v>
      </x:c>
      <x:c r="I85" s="177" t="n">
        <x:f>IF(G85&lt;=MIN('Исходные кривые'!$B$8:$N$8),INDEX('Исходные кривые'!$B$9:$N$9,1,1),IF(G85&gt;=MAX('Исходные кривые'!$B$8:$N$8),INDEX('Исходные кривые'!$B$9:$N$9,1,COLUMNS('Исходные кривые'!$B$9:$N$9)),INDEX('Исходные кривые'!$B$9:$N$9,1,MATCH(G85,'Исходные кривые'!$B$8:$N$8,1))+(G85-INDEX('Исходные кривые'!$B$8:$N$8,1,MATCH(G85,'Исходные кривые'!$B$8:$N$8,1)))*(INDEX('Исходные кривые'!$B$9:$N$9,1,MATCH(G85,'Исходные кривые'!$B$8:$N$8,1)+1)-INDEX('Исходные кривые'!$B$9:$N$9,1,MATCH(G85,'Исходные кривые'!$B$8:$N$8,1)))/(INDEX('Исходные кривые'!$B$8:$N$8,1,MATCH(G85,'Исходные кривые'!$B$8:$N$8,1)+1)-INDEX('Исходные кривые'!$B$8:$N$8,1,MATCH(G85,'Исходные кривые'!$B$8:$N$8,1)))))</x:f>
        <x:v>18.114429223744292</x:v>
      </x:c>
      <x:c r="J85" s="177" t="n">
        <x:f>IF(G85&lt;=MIN('Исходные кривые'!$B$12:$K$12),INDEX('Исходные кривые'!$B$13:$K$13,1,1),IF(G85&gt;=MAX('Исходные кривые'!$B$12:$K$12),INDEX('Исходные кривые'!$B$13:$K$13,1,COLUMNS('Исходные кривые'!$B$13:$K$13)),INDEX('Исходные кривые'!$B$13:$K$13,1,MATCH(G85,'Исходные кривые'!$B$12:$K$12,1))+(G85-INDEX('Исходные кривые'!$B$12:$K$12,1,MATCH(G85,'Исходные кривые'!$B$12:$K$12,1)))*(INDEX('Исходные кривые'!$B$13:$K$13,1,MATCH(G85,'Исходные кривые'!$B$12:$K$12,1)+1)-INDEX('Исходные кривые'!$B$13:$K$13,1,MATCH(G85,'Исходные кривые'!$B$12:$K$12,1)))/(INDEX('Исходные кривые'!$B$12:$K$12,1,MATCH(G85,'Исходные кривые'!$B$12:$K$12,1)+1)-INDEX('Исходные кривые'!$B$12:$K$12,1,MATCH(G85,'Исходные кривые'!$B$12:$K$12,1)))))</x:f>
        <x:v>39.31141552511416</x:v>
      </x:c>
      <x:c r="K85" s="177" t="n">
        <x:f>IF(G85&lt;=MIN('Исходные кривые'!$B$12:$K$12),INDEX('Исходные кривые'!$B$14:$K$14,1,1),IF(G85&gt;=MAX('Исходные кривые'!$B$12:$K$12),INDEX('Исходные кривые'!$B$14:$K$14,1,COLUMNS('Исходные кривые'!$B$14:$K$14)),INDEX('Исходные кривые'!$B$14:$K$14,1,MATCH(G85,'Исходные кривые'!$B$12:$K$12,1))+(G85-INDEX('Исходные кривые'!$B$12:$K$12,1,MATCH(G85,'Исходные кривые'!$B$12:$K$12,1)))*(INDEX('Исходные кривые'!$B$14:$K$14,1,MATCH(G85,'Исходные кривые'!$B$12:$K$12,1)+1)-INDEX('Исходные кривые'!$B$14:$K$14,1,MATCH(G85,'Исходные кривые'!$B$12:$K$12,1)))/(INDEX('Исходные кривые'!$B$12:$K$12,1,MATCH(G85,'Исходные кривые'!$B$12:$K$12,1)+1)-INDEX('Исходные кривые'!$B$12:$K$12,1,MATCH(G85,'Исходные кривые'!$B$12:$K$12,1)))))</x:f>
        <x:v>-25.32785388127854</x:v>
      </x:c>
      <x:c r="L85" s="177" t="n">
        <x:f>IF(G85&lt;=MIN('Исходные кривые'!$B$17:$L$17),INDEX('Исходные кривые'!$B$18:$L$18,1,1),IF(G85&gt;=MAX('Исходные кривые'!$B$17:$L$17),INDEX('Исходные кривые'!$B$18:$L$18,1,COLUMNS('Исходные кривые'!$B$18:$L$18)),INDEX('Исходные кривые'!$B$18:$L$18,1,MATCH(G85,'Исходные кривые'!$B$17:$L$17,1))+(G85-INDEX('Исходные кривые'!$B$17:$L$17,1,MATCH(G85,'Исходные кривые'!$B$17:$L$17,1)))*(INDEX('Исходные кривые'!$B$18:$L$18,1,MATCH(G85,'Исходные кривые'!$B$17:$L$17,1)+1)-INDEX('Исходные кривые'!$B$18:$L$18,1,MATCH(G85,'Исходные кривые'!$B$17:$L$17,1)))/(INDEX('Исходные кривые'!$B$17:$L$17,1,MATCH(G85,'Исходные кривые'!$B$17:$L$17,1)+1)-INDEX('Исходные кривые'!$B$17:$L$17,1,MATCH(G85,'Исходные кривые'!$B$17:$L$17,1)))))</x:f>
        <x:v>5.4</x:v>
      </x:c>
      <x:c r="M85" s="177" t="n">
        <x:f>IF(G85&lt;=MIN('Исходные кривые'!$B$17:$L$17),INDEX('Исходные кривые'!$B$19:$L$19,1,1),IF(G85&gt;=MAX('Исходные кривые'!$B$17:$L$17),INDEX('Исходные кривые'!$B$19:$L$19,1,COLUMNS('Исходные кривые'!$B$19:$L$19)),INDEX('Исходные кривые'!$B$19:$L$19,1,MATCH(G85,'Исходные кривые'!$B$17:$L$17,1))+(G85-INDEX('Исходные кривые'!$B$17:$L$17,1,MATCH(G85,'Исходные кривые'!$B$17:$L$17,1)))*(INDEX('Исходные кривые'!$B$19:$L$19,1,MATCH(G85,'Исходные кривые'!$B$17:$L$17,1)+1)-INDEX('Исходные кривые'!$B$19:$L$19,1,MATCH(G85,'Исходные кривые'!$B$17:$L$17,1)))/(INDEX('Исходные кривые'!$B$17:$L$17,1,MATCH(G85,'Исходные кривые'!$B$17:$L$17,1)+1)-INDEX('Исходные кривые'!$B$17:$L$17,1,MATCH(G85,'Исходные кривые'!$B$17:$L$17,1)))))</x:f>
        <x:v>-1.9</x:v>
      </x:c>
    </x:row>
    <x:row r="86">
      <x:c r="A86" s="131" t="str">
        <x:v>Своп 4</x:v>
      </x:c>
      <x:c r="B86" s="132" t="n">
        <x:v>47665</x:v>
      </x:c>
      <x:c r="C86" s="132" t="n">
        <x:v>49491</x:v>
      </x:c>
      <x:c r="D86" s="131" t="n">
        <x:v>17</x:v>
      </x:c>
      <x:c r="E86" s="132" t="n">
        <x:v>49218</x:v>
      </x:c>
      <x:c r="F86" s="176" t="n">
        <x:f>E86-'Настройки'!$B$4</x:f>
        <x:v>3015</x:v>
      </x:c>
      <x:c r="G86" s="177" t="n">
        <x:f>F86/'Настройки'!$B$5</x:f>
        <x:v>8.26027397260274</x:v>
      </x:c>
      <x:c r="H86" s="177" t="n">
        <x:f>IF(G86&lt;=MIN('Исходные кривые'!$B$4:$L$4),INDEX('Исходные кривые'!$B$5:$L$5,1,1),IF(G86&gt;=MAX('Исходные кривые'!$B$4:$L$4),INDEX('Исходные кривые'!$B$5:$L$5,1,COLUMNS('Исходные кривые'!$B$5:$L$5)),INDEX('Исходные кривые'!$B$5:$L$5,1,MATCH(G86,'Исходные кривые'!$B$4:$L$4,1))+(G86-INDEX('Исходные кривые'!$B$4:$L$4,1,MATCH(G86,'Исходные кривые'!$B$4:$L$4,1)))*(INDEX('Исходные кривые'!$B$5:$L$5,1,MATCH(G86,'Исходные кривые'!$B$4:$L$4,1)+1)-INDEX('Исходные кривые'!$B$5:$L$5,1,MATCH(G86,'Исходные кривые'!$B$4:$L$4,1)))/(INDEX('Исходные кривые'!$B$4:$L$4,1,MATCH(G86,'Исходные кривые'!$B$4:$L$4,1)+1)-INDEX('Исходные кривые'!$B$4:$L$4,1,MATCH(G86,'Исходные кривые'!$B$4:$L$4,1)))))</x:f>
        <x:v>16.148036529680365</x:v>
      </x:c>
      <x:c r="I86" s="177" t="n">
        <x:f>IF(G86&lt;=MIN('Исходные кривые'!$B$8:$N$8),INDEX('Исходные кривые'!$B$9:$N$9,1,1),IF(G86&gt;=MAX('Исходные кривые'!$B$8:$N$8),INDEX('Исходные кривые'!$B$9:$N$9,1,COLUMNS('Исходные кривые'!$B$9:$N$9)),INDEX('Исходные кривые'!$B$9:$N$9,1,MATCH(G86,'Исходные кривые'!$B$8:$N$8,1))+(G86-INDEX('Исходные кривые'!$B$8:$N$8,1,MATCH(G86,'Исходные кривые'!$B$8:$N$8,1)))*(INDEX('Исходные кривые'!$B$9:$N$9,1,MATCH(G86,'Исходные кривые'!$B$8:$N$8,1)+1)-INDEX('Исходные кривые'!$B$9:$N$9,1,MATCH(G86,'Исходные кривые'!$B$8:$N$8,1)))/(INDEX('Исходные кривые'!$B$8:$N$8,1,MATCH(G86,'Исходные кривые'!$B$8:$N$8,1)+1)-INDEX('Исходные кривые'!$B$8:$N$8,1,MATCH(G86,'Исходные кривые'!$B$8:$N$8,1)))))</x:f>
        <x:v>18.148036529680365</x:v>
      </x:c>
      <x:c r="J86" s="177" t="n">
        <x:f>IF(G86&lt;=MIN('Исходные кривые'!$B$12:$K$12),INDEX('Исходные кривые'!$B$13:$K$13,1,1),IF(G86&gt;=MAX('Исходные кривые'!$B$12:$K$12),INDEX('Исходные кривые'!$B$13:$K$13,1,COLUMNS('Исходные кривые'!$B$13:$K$13)),INDEX('Исходные кривые'!$B$13:$K$13,1,MATCH(G86,'Исходные кривые'!$B$12:$K$12,1))+(G86-INDEX('Исходные кривые'!$B$12:$K$12,1,MATCH(G86,'Исходные кривые'!$B$12:$K$12,1)))*(INDEX('Исходные кривые'!$B$13:$K$13,1,MATCH(G86,'Исходные кривые'!$B$12:$K$12,1)+1)-INDEX('Исходные кривые'!$B$13:$K$13,1,MATCH(G86,'Исходные кривые'!$B$12:$K$12,1)))/(INDEX('Исходные кривые'!$B$12:$K$12,1,MATCH(G86,'Исходные кривые'!$B$12:$K$12,1)+1)-INDEX('Исходные кривые'!$B$12:$K$12,1,MATCH(G86,'Исходные кривые'!$B$12:$K$12,1)))))</x:f>
        <x:v>38.63926940639269</x:v>
      </x:c>
      <x:c r="K86" s="177" t="n">
        <x:f>IF(G86&lt;=MIN('Исходные кривые'!$B$12:$K$12),INDEX('Исходные кривые'!$B$14:$K$14,1,1),IF(G86&gt;=MAX('Исходные кривые'!$B$12:$K$12),INDEX('Исходные кривые'!$B$14:$K$14,1,COLUMNS('Исходные кривые'!$B$14:$K$14)),INDEX('Исходные кривые'!$B$14:$K$14,1,MATCH(G86,'Исходные кривые'!$B$12:$K$12,1))+(G86-INDEX('Исходные кривые'!$B$12:$K$12,1,MATCH(G86,'Исходные кривые'!$B$12:$K$12,1)))*(INDEX('Исходные кривые'!$B$14:$K$14,1,MATCH(G86,'Исходные кривые'!$B$12:$K$12,1)+1)-INDEX('Исходные кривые'!$B$14:$K$14,1,MATCH(G86,'Исходные кривые'!$B$12:$K$12,1)))/(INDEX('Исходные кривые'!$B$12:$K$12,1,MATCH(G86,'Исходные кривые'!$B$12:$K$12,1)+1)-INDEX('Исходные кривые'!$B$12:$K$12,1,MATCH(G86,'Исходные кривые'!$B$12:$K$12,1)))))</x:f>
        <x:v>-25.159817351598175</x:v>
      </x:c>
      <x:c r="L86" s="177" t="n">
        <x:f>IF(G86&lt;=MIN('Исходные кривые'!$B$17:$L$17),INDEX('Исходные кривые'!$B$18:$L$18,1,1),IF(G86&gt;=MAX('Исходные кривые'!$B$17:$L$17),INDEX('Исходные кривые'!$B$18:$L$18,1,COLUMNS('Исходные кривые'!$B$18:$L$18)),INDEX('Исходные кривые'!$B$18:$L$18,1,MATCH(G86,'Исходные кривые'!$B$17:$L$17,1))+(G86-INDEX('Исходные кривые'!$B$17:$L$17,1,MATCH(G86,'Исходные кривые'!$B$17:$L$17,1)))*(INDEX('Исходные кривые'!$B$18:$L$18,1,MATCH(G86,'Исходные кривые'!$B$17:$L$17,1)+1)-INDEX('Исходные кривые'!$B$18:$L$18,1,MATCH(G86,'Исходные кривые'!$B$17:$L$17,1)))/(INDEX('Исходные кривые'!$B$17:$L$17,1,MATCH(G86,'Исходные кривые'!$B$17:$L$17,1)+1)-INDEX('Исходные кривые'!$B$17:$L$17,1,MATCH(G86,'Исходные кривые'!$B$17:$L$17,1)))))</x:f>
        <x:v>5.4</x:v>
      </x:c>
      <x:c r="M86" s="177" t="n">
        <x:f>IF(G86&lt;=MIN('Исходные кривые'!$B$17:$L$17),INDEX('Исходные кривые'!$B$19:$L$19,1,1),IF(G86&gt;=MAX('Исходные кривые'!$B$17:$L$17),INDEX('Исходные кривые'!$B$19:$L$19,1,COLUMNS('Исходные кривые'!$B$19:$L$19)),INDEX('Исходные кривые'!$B$19:$L$19,1,MATCH(G86,'Исходные кривые'!$B$17:$L$17,1))+(G86-INDEX('Исходные кривые'!$B$17:$L$17,1,MATCH(G86,'Исходные кривые'!$B$17:$L$17,1)))*(INDEX('Исходные кривые'!$B$19:$L$19,1,MATCH(G86,'Исходные кривые'!$B$17:$L$17,1)+1)-INDEX('Исходные кривые'!$B$19:$L$19,1,MATCH(G86,'Исходные кривые'!$B$17:$L$17,1)))/(INDEX('Исходные кривые'!$B$17:$L$17,1,MATCH(G86,'Исходные кривые'!$B$17:$L$17,1)+1)-INDEX('Исходные кривые'!$B$17:$L$17,1,MATCH(G86,'Исходные кривые'!$B$17:$L$17,1)))))</x:f>
        <x:v>-1.9</x:v>
      </x:c>
    </x:row>
    <x:row r="87">
      <x:c r="A87" s="131" t="str">
        <x:v>Своп 4</x:v>
      </x:c>
      <x:c r="B87" s="132" t="n">
        <x:v>47665</x:v>
      </x:c>
      <x:c r="C87" s="132" t="n">
        <x:v>49491</x:v>
      </x:c>
      <x:c r="D87" s="131" t="n">
        <x:v>18</x:v>
      </x:c>
      <x:c r="E87" s="132" t="n">
        <x:v>49310</x:v>
      </x:c>
      <x:c r="F87" s="176" t="n">
        <x:f>E87-'Настройки'!$B$4</x:f>
        <x:v>3107</x:v>
      </x:c>
      <x:c r="G87" s="177" t="n">
        <x:f>F87/'Настройки'!$B$5</x:f>
        <x:v>8.512328767123288</x:v>
      </x:c>
      <x:c r="H87" s="177" t="n">
        <x:f>IF(G87&lt;=MIN('Исходные кривые'!$B$4:$L$4),INDEX('Исходные кривые'!$B$5:$L$5,1,1),IF(G87&gt;=MAX('Исходные кривые'!$B$4:$L$4),INDEX('Исходные кривые'!$B$5:$L$5,1,COLUMNS('Исходные кривые'!$B$5:$L$5)),INDEX('Исходные кривые'!$B$5:$L$5,1,MATCH(G87,'Исходные кривые'!$B$4:$L$4,1))+(G87-INDEX('Исходные кривые'!$B$4:$L$4,1,MATCH(G87,'Исходные кривые'!$B$4:$L$4,1)))*(INDEX('Исходные кривые'!$B$5:$L$5,1,MATCH(G87,'Исходные кривые'!$B$4:$L$4,1)+1)-INDEX('Исходные кривые'!$B$5:$L$5,1,MATCH(G87,'Исходные кривые'!$B$4:$L$4,1)))/(INDEX('Исходные кривые'!$B$4:$L$4,1,MATCH(G87,'Исходные кривые'!$B$4:$L$4,1)+1)-INDEX('Исходные кривые'!$B$4:$L$4,1,MATCH(G87,'Исходные кривые'!$B$4:$L$4,1)))))</x:f>
        <x:v>16.181643835616438</x:v>
      </x:c>
      <x:c r="I87" s="177" t="n">
        <x:f>IF(G87&lt;=MIN('Исходные кривые'!$B$8:$N$8),INDEX('Исходные кривые'!$B$9:$N$9,1,1),IF(G87&gt;=MAX('Исходные кривые'!$B$8:$N$8),INDEX('Исходные кривые'!$B$9:$N$9,1,COLUMNS('Исходные кривые'!$B$9:$N$9)),INDEX('Исходные кривые'!$B$9:$N$9,1,MATCH(G87,'Исходные кривые'!$B$8:$N$8,1))+(G87-INDEX('Исходные кривые'!$B$8:$N$8,1,MATCH(G87,'Исходные кривые'!$B$8:$N$8,1)))*(INDEX('Исходные кривые'!$B$9:$N$9,1,MATCH(G87,'Исходные кривые'!$B$8:$N$8,1)+1)-INDEX('Исходные кривые'!$B$9:$N$9,1,MATCH(G87,'Исходные кривые'!$B$8:$N$8,1)))/(INDEX('Исходные кривые'!$B$8:$N$8,1,MATCH(G87,'Исходные кривые'!$B$8:$N$8,1)+1)-INDEX('Исходные кривые'!$B$8:$N$8,1,MATCH(G87,'Исходные кривые'!$B$8:$N$8,1)))))</x:f>
        <x:v>18.181643835616438</x:v>
      </x:c>
      <x:c r="J87" s="177" t="n">
        <x:f>IF(G87&lt;=MIN('Исходные кривые'!$B$12:$K$12),INDEX('Исходные кривые'!$B$13:$K$13,1,1),IF(G87&gt;=MAX('Исходные кривые'!$B$12:$K$12),INDEX('Исходные кривые'!$B$13:$K$13,1,COLUMNS('Исходные кривые'!$B$13:$K$13)),INDEX('Исходные кривые'!$B$13:$K$13,1,MATCH(G87,'Исходные кривые'!$B$12:$K$12,1))+(G87-INDEX('Исходные кривые'!$B$12:$K$12,1,MATCH(G87,'Исходные кривые'!$B$12:$K$12,1)))*(INDEX('Исходные кривые'!$B$13:$K$13,1,MATCH(G87,'Исходные кривые'!$B$12:$K$12,1)+1)-INDEX('Исходные кривые'!$B$13:$K$13,1,MATCH(G87,'Исходные кривые'!$B$12:$K$12,1)))/(INDEX('Исходные кривые'!$B$12:$K$12,1,MATCH(G87,'Исходные кривые'!$B$12:$K$12,1)+1)-INDEX('Исходные кривые'!$B$12:$K$12,1,MATCH(G87,'Исходные кривые'!$B$12:$K$12,1)))))</x:f>
        <x:v>37.967123287671235</x:v>
      </x:c>
      <x:c r="K87" s="177" t="n">
        <x:f>IF(G87&lt;=MIN('Исходные кривые'!$B$12:$K$12),INDEX('Исходные кривые'!$B$14:$K$14,1,1),IF(G87&gt;=MAX('Исходные кривые'!$B$12:$K$12),INDEX('Исходные кривые'!$B$14:$K$14,1,COLUMNS('Исходные кривые'!$B$14:$K$14)),INDEX('Исходные кривые'!$B$14:$K$14,1,MATCH(G87,'Исходные кривые'!$B$12:$K$12,1))+(G87-INDEX('Исходные кривые'!$B$12:$K$12,1,MATCH(G87,'Исходные кривые'!$B$12:$K$12,1)))*(INDEX('Исходные кривые'!$B$14:$K$14,1,MATCH(G87,'Исходные кривые'!$B$12:$K$12,1)+1)-INDEX('Исходные кривые'!$B$14:$K$14,1,MATCH(G87,'Исходные кривые'!$B$12:$K$12,1)))/(INDEX('Исходные кривые'!$B$12:$K$12,1,MATCH(G87,'Исходные кривые'!$B$12:$K$12,1)+1)-INDEX('Исходные кривые'!$B$12:$K$12,1,MATCH(G87,'Исходные кривые'!$B$12:$K$12,1)))))</x:f>
        <x:v>-24.991780821917807</x:v>
      </x:c>
      <x:c r="L87" s="177" t="n">
        <x:f>IF(G87&lt;=MIN('Исходные кривые'!$B$17:$L$17),INDEX('Исходные кривые'!$B$18:$L$18,1,1),IF(G87&gt;=MAX('Исходные кривые'!$B$17:$L$17),INDEX('Исходные кривые'!$B$18:$L$18,1,COLUMNS('Исходные кривые'!$B$18:$L$18)),INDEX('Исходные кривые'!$B$18:$L$18,1,MATCH(G87,'Исходные кривые'!$B$17:$L$17,1))+(G87-INDEX('Исходные кривые'!$B$17:$L$17,1,MATCH(G87,'Исходные кривые'!$B$17:$L$17,1)))*(INDEX('Исходные кривые'!$B$18:$L$18,1,MATCH(G87,'Исходные кривые'!$B$17:$L$17,1)+1)-INDEX('Исходные кривые'!$B$18:$L$18,1,MATCH(G87,'Исходные кривые'!$B$17:$L$17,1)))/(INDEX('Исходные кривые'!$B$17:$L$17,1,MATCH(G87,'Исходные кривые'!$B$17:$L$17,1)+1)-INDEX('Исходные кривые'!$B$17:$L$17,1,MATCH(G87,'Исходные кривые'!$B$17:$L$17,1)))))</x:f>
        <x:v>5.4</x:v>
      </x:c>
      <x:c r="M87" s="177" t="n">
        <x:f>IF(G87&lt;=MIN('Исходные кривые'!$B$17:$L$17),INDEX('Исходные кривые'!$B$19:$L$19,1,1),IF(G87&gt;=MAX('Исходные кривые'!$B$17:$L$17),INDEX('Исходные кривые'!$B$19:$L$19,1,COLUMNS('Исходные кривые'!$B$19:$L$19)),INDEX('Исходные кривые'!$B$19:$L$19,1,MATCH(G87,'Исходные кривые'!$B$17:$L$17,1))+(G87-INDEX('Исходные кривые'!$B$17:$L$17,1,MATCH(G87,'Исходные кривые'!$B$17:$L$17,1)))*(INDEX('Исходные кривые'!$B$19:$L$19,1,MATCH(G87,'Исходные кривые'!$B$17:$L$17,1)+1)-INDEX('Исходные кривые'!$B$19:$L$19,1,MATCH(G87,'Исходные кривые'!$B$17:$L$17,1)))/(INDEX('Исходные кривые'!$B$17:$L$17,1,MATCH(G87,'Исходные кривые'!$B$17:$L$17,1)+1)-INDEX('Исходные кривые'!$B$17:$L$17,1,MATCH(G87,'Исходные кривые'!$B$17:$L$17,1)))))</x:f>
        <x:v>-1.9</x:v>
      </x:c>
    </x:row>
    <x:row r="88">
      <x:c r="A88" s="131" t="str">
        <x:v>Своп 4</x:v>
      </x:c>
      <x:c r="B88" s="132" t="n">
        <x:v>47665</x:v>
      </x:c>
      <x:c r="C88" s="132" t="n">
        <x:v>49491</x:v>
      </x:c>
      <x:c r="D88" s="131" t="n">
        <x:v>19</x:v>
      </x:c>
      <x:c r="E88" s="132" t="n">
        <x:v>49400</x:v>
      </x:c>
      <x:c r="F88" s="176" t="n">
        <x:f>E88-'Настройки'!$B$4</x:f>
        <x:v>3197</x:v>
      </x:c>
      <x:c r="G88" s="177" t="n">
        <x:f>F88/'Настройки'!$B$5</x:f>
        <x:v>8.758904109589041</x:v>
      </x:c>
      <x:c r="H88" s="177" t="n">
        <x:f>IF(G88&lt;=MIN('Исходные кривые'!$B$4:$L$4),INDEX('Исходные кривые'!$B$5:$L$5,1,1),IF(G88&gt;=MAX('Исходные кривые'!$B$4:$L$4),INDEX('Исходные кривые'!$B$5:$L$5,1,COLUMNS('Исходные кривые'!$B$5:$L$5)),INDEX('Исходные кривые'!$B$5:$L$5,1,MATCH(G88,'Исходные кривые'!$B$4:$L$4,1))+(G88-INDEX('Исходные кривые'!$B$4:$L$4,1,MATCH(G88,'Исходные кривые'!$B$4:$L$4,1)))*(INDEX('Исходные кривые'!$B$5:$L$5,1,MATCH(G88,'Исходные кривые'!$B$4:$L$4,1)+1)-INDEX('Исходные кривые'!$B$5:$L$5,1,MATCH(G88,'Исходные кривые'!$B$4:$L$4,1)))/(INDEX('Исходные кривые'!$B$4:$L$4,1,MATCH(G88,'Исходные кривые'!$B$4:$L$4,1)+1)-INDEX('Исходные кривые'!$B$4:$L$4,1,MATCH(G88,'Исходные кривые'!$B$4:$L$4,1)))))</x:f>
        <x:v>16.214520547945206</x:v>
      </x:c>
      <x:c r="I88" s="177" t="n">
        <x:f>IF(G88&lt;=MIN('Исходные кривые'!$B$8:$N$8),INDEX('Исходные кривые'!$B$9:$N$9,1,1),IF(G88&gt;=MAX('Исходные кривые'!$B$8:$N$8),INDEX('Исходные кривые'!$B$9:$N$9,1,COLUMNS('Исходные кривые'!$B$9:$N$9)),INDEX('Исходные кривые'!$B$9:$N$9,1,MATCH(G88,'Исходные кривые'!$B$8:$N$8,1))+(G88-INDEX('Исходные кривые'!$B$8:$N$8,1,MATCH(G88,'Исходные кривые'!$B$8:$N$8,1)))*(INDEX('Исходные кривые'!$B$9:$N$9,1,MATCH(G88,'Исходные кривые'!$B$8:$N$8,1)+1)-INDEX('Исходные кривые'!$B$9:$N$9,1,MATCH(G88,'Исходные кривые'!$B$8:$N$8,1)))/(INDEX('Исходные кривые'!$B$8:$N$8,1,MATCH(G88,'Исходные кривые'!$B$8:$N$8,1)+1)-INDEX('Исходные кривые'!$B$8:$N$8,1,MATCH(G88,'Исходные кривые'!$B$8:$N$8,1)))))</x:f>
        <x:v>18.214520547945206</x:v>
      </x:c>
      <x:c r="J88" s="177" t="n">
        <x:f>IF(G88&lt;=MIN('Исходные кривые'!$B$12:$K$12),INDEX('Исходные кривые'!$B$13:$K$13,1,1),IF(G88&gt;=MAX('Исходные кривые'!$B$12:$K$12),INDEX('Исходные кривые'!$B$13:$K$13,1,COLUMNS('Исходные кривые'!$B$13:$K$13)),INDEX('Исходные кривые'!$B$13:$K$13,1,MATCH(G88,'Исходные кривые'!$B$12:$K$12,1))+(G88-INDEX('Исходные кривые'!$B$12:$K$12,1,MATCH(G88,'Исходные кривые'!$B$12:$K$12,1)))*(INDEX('Исходные кривые'!$B$13:$K$13,1,MATCH(G88,'Исходные кривые'!$B$12:$K$12,1)+1)-INDEX('Исходные кривые'!$B$13:$K$13,1,MATCH(G88,'Исходные кривые'!$B$12:$K$12,1)))/(INDEX('Исходные кривые'!$B$12:$K$12,1,MATCH(G88,'Исходные кривые'!$B$12:$K$12,1)+1)-INDEX('Исходные кривые'!$B$12:$K$12,1,MATCH(G88,'Исходные кривые'!$B$12:$K$12,1)))))</x:f>
        <x:v>37.30958904109589</x:v>
      </x:c>
      <x:c r="K88" s="177" t="n">
        <x:f>IF(G88&lt;=MIN('Исходные кривые'!$B$12:$K$12),INDEX('Исходные кривые'!$B$14:$K$14,1,1),IF(G88&gt;=MAX('Исходные кривые'!$B$12:$K$12),INDEX('Исходные кривые'!$B$14:$K$14,1,COLUMNS('Исходные кривые'!$B$14:$K$14)),INDEX('Исходные кривые'!$B$14:$K$14,1,MATCH(G88,'Исходные кривые'!$B$12:$K$12,1))+(G88-INDEX('Исходные кривые'!$B$12:$K$12,1,MATCH(G88,'Исходные кривые'!$B$12:$K$12,1)))*(INDEX('Исходные кривые'!$B$14:$K$14,1,MATCH(G88,'Исходные кривые'!$B$12:$K$12,1)+1)-INDEX('Исходные кривые'!$B$14:$K$14,1,MATCH(G88,'Исходные кривые'!$B$12:$K$12,1)))/(INDEX('Исходные кривые'!$B$12:$K$12,1,MATCH(G88,'Исходные кривые'!$B$12:$K$12,1)+1)-INDEX('Исходные кривые'!$B$12:$K$12,1,MATCH(G88,'Исходные кривые'!$B$12:$K$12,1)))))</x:f>
        <x:v>-24.827397260273973</x:v>
      </x:c>
      <x:c r="L88" s="177" t="n">
        <x:f>IF(G88&lt;=MIN('Исходные кривые'!$B$17:$L$17),INDEX('Исходные кривые'!$B$18:$L$18,1,1),IF(G88&gt;=MAX('Исходные кривые'!$B$17:$L$17),INDEX('Исходные кривые'!$B$18:$L$18,1,COLUMNS('Исходные кривые'!$B$18:$L$18)),INDEX('Исходные кривые'!$B$18:$L$18,1,MATCH(G88,'Исходные кривые'!$B$17:$L$17,1))+(G88-INDEX('Исходные кривые'!$B$17:$L$17,1,MATCH(G88,'Исходные кривые'!$B$17:$L$17,1)))*(INDEX('Исходные кривые'!$B$18:$L$18,1,MATCH(G88,'Исходные кривые'!$B$17:$L$17,1)+1)-INDEX('Исходные кривые'!$B$18:$L$18,1,MATCH(G88,'Исходные кривые'!$B$17:$L$17,1)))/(INDEX('Исходные кривые'!$B$17:$L$17,1,MATCH(G88,'Исходные кривые'!$B$17:$L$17,1)+1)-INDEX('Исходные кривые'!$B$17:$L$17,1,MATCH(G88,'Исходные кривые'!$B$17:$L$17,1)))))</x:f>
        <x:v>5.4</x:v>
      </x:c>
      <x:c r="M88" s="177" t="n">
        <x:f>IF(G88&lt;=MIN('Исходные кривые'!$B$17:$L$17),INDEX('Исходные кривые'!$B$19:$L$19,1,1),IF(G88&gt;=MAX('Исходные кривые'!$B$17:$L$17),INDEX('Исходные кривые'!$B$19:$L$19,1,COLUMNS('Исходные кривые'!$B$19:$L$19)),INDEX('Исходные кривые'!$B$19:$L$19,1,MATCH(G88,'Исходные кривые'!$B$17:$L$17,1))+(G88-INDEX('Исходные кривые'!$B$17:$L$17,1,MATCH(G88,'Исходные кривые'!$B$17:$L$17,1)))*(INDEX('Исходные кривые'!$B$19:$L$19,1,MATCH(G88,'Исходные кривые'!$B$17:$L$17,1)+1)-INDEX('Исходные кривые'!$B$19:$L$19,1,MATCH(G88,'Исходные кривые'!$B$17:$L$17,1)))/(INDEX('Исходные кривые'!$B$17:$L$17,1,MATCH(G88,'Исходные кривые'!$B$17:$L$17,1)+1)-INDEX('Исходные кривые'!$B$17:$L$17,1,MATCH(G88,'Исходные кривые'!$B$17:$L$17,1)))))</x:f>
        <x:v>-1.9</x:v>
      </x:c>
    </x:row>
    <x:row r="89">
      <x:c r="A89" s="131" t="str">
        <x:v>Своп 4</x:v>
      </x:c>
      <x:c r="B89" s="132" t="n">
        <x:v>47665</x:v>
      </x:c>
      <x:c r="C89" s="132" t="n">
        <x:v>49491</x:v>
      </x:c>
      <x:c r="D89" s="131" t="n">
        <x:v>20</x:v>
      </x:c>
      <x:c r="E89" s="132" t="n">
        <x:v>49491</x:v>
      </x:c>
      <x:c r="F89" s="176" t="n">
        <x:f>E89-'Настройки'!$B$4</x:f>
        <x:v>3288</x:v>
      </x:c>
      <x:c r="G89" s="177" t="n">
        <x:f>F89/'Настройки'!$B$5</x:f>
        <x:v>9.008219178082191</x:v>
      </x:c>
      <x:c r="H89" s="177" t="n">
        <x:f>IF(G89&lt;=MIN('Исходные кривые'!$B$4:$L$4),INDEX('Исходные кривые'!$B$5:$L$5,1,1),IF(G89&gt;=MAX('Исходные кривые'!$B$4:$L$4),INDEX('Исходные кривые'!$B$5:$L$5,1,COLUMNS('Исходные кривые'!$B$5:$L$5)),INDEX('Исходные кривые'!$B$5:$L$5,1,MATCH(G89,'Исходные кривые'!$B$4:$L$4,1))+(G89-INDEX('Исходные кривые'!$B$4:$L$4,1,MATCH(G89,'Исходные кривые'!$B$4:$L$4,1)))*(INDEX('Исходные кривые'!$B$5:$L$5,1,MATCH(G89,'Исходные кривые'!$B$4:$L$4,1)+1)-INDEX('Исходные кривые'!$B$5:$L$5,1,MATCH(G89,'Исходные кривые'!$B$4:$L$4,1)))/(INDEX('Исходные кривые'!$B$4:$L$4,1,MATCH(G89,'Исходные кривые'!$B$4:$L$4,1)+1)-INDEX('Исходные кривые'!$B$4:$L$4,1,MATCH(G89,'Исходные кривые'!$B$4:$L$4,1)))))</x:f>
        <x:v>16.247762557077625</x:v>
      </x:c>
      <x:c r="I89" s="177" t="n">
        <x:f>IF(G89&lt;=MIN('Исходные кривые'!$B$8:$N$8),INDEX('Исходные кривые'!$B$9:$N$9,1,1),IF(G89&gt;=MAX('Исходные кривые'!$B$8:$N$8),INDEX('Исходные кривые'!$B$9:$N$9,1,COLUMNS('Исходные кривые'!$B$9:$N$9)),INDEX('Исходные кривые'!$B$9:$N$9,1,MATCH(G89,'Исходные кривые'!$B$8:$N$8,1))+(G89-INDEX('Исходные кривые'!$B$8:$N$8,1,MATCH(G89,'Исходные кривые'!$B$8:$N$8,1)))*(INDEX('Исходные кривые'!$B$9:$N$9,1,MATCH(G89,'Исходные кривые'!$B$8:$N$8,1)+1)-INDEX('Исходные кривые'!$B$9:$N$9,1,MATCH(G89,'Исходные кривые'!$B$8:$N$8,1)))/(INDEX('Исходные кривые'!$B$8:$N$8,1,MATCH(G89,'Исходные кривые'!$B$8:$N$8,1)+1)-INDEX('Исходные кривые'!$B$8:$N$8,1,MATCH(G89,'Исходные кривые'!$B$8:$N$8,1)))))</x:f>
        <x:v>18.247762557077625</x:v>
      </x:c>
      <x:c r="J89" s="177" t="n">
        <x:f>IF(G89&lt;=MIN('Исходные кривые'!$B$12:$K$12),INDEX('Исходные кривые'!$B$13:$K$13,1,1),IF(G89&gt;=MAX('Исходные кривые'!$B$12:$K$12),INDEX('Исходные кривые'!$B$13:$K$13,1,COLUMNS('Исходные кривые'!$B$13:$K$13)),INDEX('Исходные кривые'!$B$13:$K$13,1,MATCH(G89,'Исходные кривые'!$B$12:$K$12,1))+(G89-INDEX('Исходные кривые'!$B$12:$K$12,1,MATCH(G89,'Исходные кривые'!$B$12:$K$12,1)))*(INDEX('Исходные кривые'!$B$13:$K$13,1,MATCH(G89,'Исходные кривые'!$B$12:$K$12,1)+1)-INDEX('Исходные кривые'!$B$13:$K$13,1,MATCH(G89,'Исходные кривые'!$B$12:$K$12,1)))/(INDEX('Исходные кривые'!$B$12:$K$12,1,MATCH(G89,'Исходные кривые'!$B$12:$K$12,1)+1)-INDEX('Исходные кривые'!$B$12:$K$12,1,MATCH(G89,'Исходные кривые'!$B$12:$K$12,1)))))</x:f>
        <x:v>36.64474885844749</x:v>
      </x:c>
      <x:c r="K89" s="177" t="n">
        <x:f>IF(G89&lt;=MIN('Исходные кривые'!$B$12:$K$12),INDEX('Исходные кривые'!$B$14:$K$14,1,1),IF(G89&gt;=MAX('Исходные кривые'!$B$12:$K$12),INDEX('Исходные кривые'!$B$14:$K$14,1,COLUMNS('Исходные кривые'!$B$14:$K$14)),INDEX('Исходные кривые'!$B$14:$K$14,1,MATCH(G89,'Исходные кривые'!$B$12:$K$12,1))+(G89-INDEX('Исходные кривые'!$B$12:$K$12,1,MATCH(G89,'Исходные кривые'!$B$12:$K$12,1)))*(INDEX('Исходные кривые'!$B$14:$K$14,1,MATCH(G89,'Исходные кривые'!$B$12:$K$12,1)+1)-INDEX('Исходные кривые'!$B$14:$K$14,1,MATCH(G89,'Исходные кривые'!$B$12:$K$12,1)))/(INDEX('Исходные кривые'!$B$12:$K$12,1,MATCH(G89,'Исходные кривые'!$B$12:$K$12,1)+1)-INDEX('Исходные кривые'!$B$12:$K$12,1,MATCH(G89,'Исходные кривые'!$B$12:$K$12,1)))))</x:f>
        <x:v>-24.66118721461187</x:v>
      </x:c>
      <x:c r="L89" s="177" t="n">
        <x:f>IF(G89&lt;=MIN('Исходные кривые'!$B$17:$L$17),INDEX('Исходные кривые'!$B$18:$L$18,1,1),IF(G89&gt;=MAX('Исходные кривые'!$B$17:$L$17),INDEX('Исходные кривые'!$B$18:$L$18,1,COLUMNS('Исходные кривые'!$B$18:$L$18)),INDEX('Исходные кривые'!$B$18:$L$18,1,MATCH(G89,'Исходные кривые'!$B$17:$L$17,1))+(G89-INDEX('Исходные кривые'!$B$17:$L$17,1,MATCH(G89,'Исходные кривые'!$B$17:$L$17,1)))*(INDEX('Исходные кривые'!$B$18:$L$18,1,MATCH(G89,'Исходные кривые'!$B$17:$L$17,1)+1)-INDEX('Исходные кривые'!$B$18:$L$18,1,MATCH(G89,'Исходные кривые'!$B$17:$L$17,1)))/(INDEX('Исходные кривые'!$B$17:$L$17,1,MATCH(G89,'Исходные кривые'!$B$17:$L$17,1)+1)-INDEX('Исходные кривые'!$B$17:$L$17,1,MATCH(G89,'Исходные кривые'!$B$17:$L$17,1)))))</x:f>
        <x:v>5.4</x:v>
      </x:c>
      <x:c r="M89" s="177" t="n">
        <x:f>IF(G89&lt;=MIN('Исходные кривые'!$B$17:$L$17),INDEX('Исходные кривые'!$B$19:$L$19,1,1),IF(G89&gt;=MAX('Исходные кривые'!$B$17:$L$17),INDEX('Исходные кривые'!$B$19:$L$19,1,COLUMNS('Исходные кривые'!$B$19:$L$19)),INDEX('Исходные кривые'!$B$19:$L$19,1,MATCH(G89,'Исходные кривые'!$B$17:$L$17,1))+(G89-INDEX('Исходные кривые'!$B$17:$L$17,1,MATCH(G89,'Исходные кривые'!$B$17:$L$17,1)))*(INDEX('Исходные кривые'!$B$19:$L$19,1,MATCH(G89,'Исходные кривые'!$B$17:$L$17,1)+1)-INDEX('Исходные кривые'!$B$19:$L$19,1,MATCH(G89,'Исходные кривые'!$B$17:$L$17,1)))/(INDEX('Исходные кривые'!$B$17:$L$17,1,MATCH(G89,'Исходные кривые'!$B$17:$L$17,1)+1)-INDEX('Исходные кривые'!$B$17:$L$17,1,MATCH(G89,'Исходные кривые'!$B$17:$L$17,1)))))</x:f>
        <x:v>-1.9</x:v>
      </x:c>
    </x:row>
  </x:sheetData>
  <x:mergeCells>
    <x:mergeCell ref="A1:M1"/>
  </x:mergeCells>
  <x:pageMargins left="0.7" right="0.7" top="0.75" bottom="0.75" header="0.3" footer="0.3"/>
</x:worksheet>
</file>